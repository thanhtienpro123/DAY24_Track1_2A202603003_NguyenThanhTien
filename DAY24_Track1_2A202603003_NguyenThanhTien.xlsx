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A_Tài chính căn bản" sheetId="3" state="visible" r:id="rId3"/>
    <sheet xmlns:r="http://schemas.openxmlformats.org/officeDocument/2006/relationships" name="1_Chi phí mỗi việc" sheetId="4" state="visible" r:id="rId4"/>
    <sheet xmlns:r="http://schemas.openxmlformats.org/officeDocument/2006/relationships" name="2_Định giá" sheetId="5" state="visible" r:id="rId5"/>
    <sheet xmlns:r="http://schemas.openxmlformats.org/officeDocument/2006/relationships" name="3_Giả định" sheetId="6" state="visible" r:id="rId6"/>
    <sheet xmlns:r="http://schemas.openxmlformats.org/officeDocument/2006/relationships" name="4_Chỉ số mỗi khách" sheetId="7" state="visible" r:id="rId7"/>
    <sheet xmlns:r="http://schemas.openxmlformats.org/officeDocument/2006/relationships" name="5_Dòng tiền &amp; hiệu quả" sheetId="8" state="visible" r:id="rId8"/>
    <sheet xmlns:r="http://schemas.openxmlformats.org/officeDocument/2006/relationships" name="6_Hiệu quả nội bộ" sheetId="9" state="visible" r:id="rId9"/>
    <sheet xmlns:r="http://schemas.openxmlformats.org/officeDocument/2006/relationships" name="7_Quyết định" sheetId="10" state="visible" r:id="rId10"/>
    <sheet xmlns:r="http://schemas.openxmlformats.org/officeDocument/2006/relationships" name="8_Thang điểm" sheetId="11" state="visible" r:id="rId11"/>
    <sheet xmlns:r="http://schemas.openxmlformats.org/officeDocument/2006/relationships" name="9_Số tham khảo" sheetId="12" state="visible" r:id="rId12"/>
  </sheets>
  <definedNames/>
  <calcPr calcId="124519" calcMode="auto" fullCalcOnLoad="1" refMode="A1" iterate="0" iterateCount="100" iterateDelta="0.0001" forceFullCalc="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6">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sz val="11"/>
    </font>
    <font>
      <name val="Calibri"/>
      <charset val="1"/>
      <family val="0"/>
      <i val="1"/>
      <color rgb="FF595959"/>
      <sz val="11"/>
    </font>
    <font>
      <name val="Cambria"/>
      <charset val="1"/>
      <family val="0"/>
      <b val="1"/>
      <color rgb="FFFFFFFF"/>
      <sz val="11"/>
    </font>
    <font>
      <name val="Calibri"/>
      <charset val="1"/>
      <family val="0"/>
      <i val="1"/>
      <color rgb="FF595959"/>
      <sz val="10"/>
    </font>
    <font>
      <name val="Calibri"/>
      <charset val="1"/>
      <family val="0"/>
      <sz val="11"/>
    </font>
    <font>
      <name val="Calibri"/>
      <charset val="1"/>
      <family val="0"/>
      <b val="1"/>
      <sz val="11"/>
    </font>
    <font>
      <name val="Calibri"/>
      <charset val="1"/>
      <family val="0"/>
      <b val="1"/>
      <color rgb="FFC00000"/>
      <sz val="11"/>
    </font>
    <font>
      <name val="Cambria"/>
      <charset val="1"/>
      <family val="0"/>
      <b val="1"/>
      <sz val="12"/>
    </font>
    <font>
      <name val="Cambria"/>
      <charset val="1"/>
      <family val="0"/>
      <b val="1"/>
      <color rgb="FFC00000"/>
      <sz val="11"/>
    </font>
    <font>
      <name val="Calibri"/>
      <charset val="1"/>
      <family val="0"/>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0" fontId="9" fillId="0" borderId="0" applyAlignment="1" pivotButton="0" quotePrefix="0" xfId="0">
      <alignment horizontal="general" vertical="top" wrapText="1"/>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8" fillId="4" borderId="0" applyAlignment="1" pivotButton="0" quotePrefix="0" xfId="0">
      <alignment horizontal="general" vertical="center" wrapText="1"/>
    </xf>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0" fontId="5" fillId="0" borderId="0" applyAlignment="1" pivotButton="0" quotePrefix="0" xfId="0">
      <alignment horizontal="general" vertical="top" wrapText="1"/>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xf numFmtId="0" fontId="6" fillId="0" borderId="0" applyAlignment="1" pivotButton="0" quotePrefix="0" xfId="0">
      <alignment horizontal="general" vertical="top" wrapText="1"/>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0" fillId="0" borderId="4" pivotButton="0" quotePrefix="0" xfId="0"/>
    <xf numFmtId="0" fontId="0" fillId="0" borderId="5" pivotButton="0" quotePrefix="0" xfId="0"/>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0" borderId="0" applyProtection="1" pivotButton="0" quotePrefix="0" xfId="0">
      <protection locked="0" hidden="0"/>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11" min="1" max="1"/>
  </cols>
  <sheetData>
    <row r="1" ht="17.25" customHeight="1" s="112">
      <c r="A1" s="113" t="inlineStr">
        <is>
          <t>CS9 · Kinh tế sản phẩm AI: chi phí, định giá, hiệu quả đầu tư — File thực hành</t>
        </is>
      </c>
    </row>
    <row r="2" ht="46.5" customHeight="1" s="112">
      <c r="A2" s="114"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12">
      <c r="A3" s="115"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12">
      <c r="A4" s="115"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12">
      <c r="A5" s="115"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12">
      <c r="A6" s="115"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12">
      <c r="A7" s="115" t="inlineStr">
        <is>
          <t>Giá token: tra bảng giá chính thức của nhà cung cấp vào ngày làm bài, ghi tên mô hình và ngày tra. Tỷ giá: ghi nguồn và ngày. Trang 9 có sẵn một số số liệu đã kiểm chứng.</t>
        </is>
      </c>
    </row>
    <row r="8" ht="16.5" customHeight="1" s="112">
      <c r="A8" s="115" t="inlineStr">
        <is>
          <t>Kịch bản xấu phải là cú sốc thật: tỷ lệ rời bỏ và chi phí có một khách tối thiểu gấp 1,5 lần kịch bản cơ sở (trang 3 tự kiểm tra).</t>
        </is>
      </c>
    </row>
    <row r="9" ht="46.5" customHeight="1" s="112">
      <c r="A9" s="115"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12">
      <c r="A10" s="115" t="inlineStr">
        <is>
          <t>Tên file nộp: [Nhom]_CS9.xlsx · Nộp lên VLearn khi hết Nhiệm vụ 4.</t>
        </is>
      </c>
    </row>
    <row r="11" ht="31.5" customHeight="1" s="112">
      <c r="A11" s="115" t="inlineStr">
        <is>
          <t>Nối hai buổi trước: mang phiếu bài tập 1 và bài về nhà một trang của Ngày 22 (định giá, kênh bán), và bảng theo dõi chỉ số của Ngày 23. Trang 0 chỉ chỗ dùng từng thứ.</t>
        </is>
      </c>
    </row>
    <row r="12" ht="31.5" customHeight="1" s="112">
      <c r="A12" s="115"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12">
      <c r="A13" s="115"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12">
      <c r="A14" s="115" t="inlineStr">
        <is>
          <t>Đơn vị tiền: trang A tính bằng TRIỆU đồng; từ trang 1 trở đi tính bằng ĐỒNG, riêng bảng độ nhạy ở trang 5 (dòng 56–68) ghi bằng triệu đồng.</t>
        </is>
      </c>
    </row>
    <row r="15" ht="15" customHeight="1" s="112">
      <c r="A15" s="116" t="inlineStr">
        <is>
          <t>Chú thích màu:</t>
        </is>
      </c>
    </row>
    <row r="16" ht="15" customHeight="1" s="112">
      <c r="A16" s="117" t="inlineStr">
        <is>
          <t>Ô điền giả định (không khóa)</t>
        </is>
      </c>
    </row>
    <row r="17" ht="15" customHeight="1" s="112">
      <c r="A17" s="118" t="inlineStr">
        <is>
          <t>Ô công thức (tự tính, đã khóa)</t>
        </is>
      </c>
    </row>
    <row r="18" ht="15" customHeight="1" s="112">
      <c r="A18" s="119"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11" min="1" max="1"/>
    <col width="14" customWidth="1" style="111" min="2" max="2"/>
    <col width="46" customWidth="1" style="111" min="3" max="4"/>
    <col width="36" customWidth="1" style="111" min="5" max="5"/>
  </cols>
  <sheetData>
    <row r="1" ht="17.25" customHeight="1" s="112">
      <c r="A1" s="113" t="inlineStr">
        <is>
          <t>0 · Nhiệm vụ 0: gom đầu vào — có thì tận dụng, chưa có thì làm mới (5 phút)</t>
        </is>
      </c>
    </row>
    <row r="2" ht="15" customHeight="1" s="112">
      <c r="A2" s="120" t="inlineStr">
        <is>
          <t>Đánh dấu nhóm đã có hay chưa. Cả hai lối đi đều đủ điểm. Dùng số thật từ buổi trước được cộng tối đa 10 điểm.</t>
        </is>
      </c>
    </row>
    <row r="4" ht="26.25" customHeight="1" s="112">
      <c r="A4" s="121" t="inlineStr">
        <is>
          <t>Có thể đã có từ buổi trước</t>
        </is>
      </c>
      <c r="B4" s="121" t="inlineStr">
        <is>
          <t>Nhóm đã có chưa?</t>
        </is>
      </c>
      <c r="C4" s="121" t="inlineStr">
        <is>
          <t>Nếu ĐÃ CÓ: dùng ở đâu</t>
        </is>
      </c>
      <c r="D4" s="121" t="inlineStr">
        <is>
          <t>Nếu CHƯA CÓ: làm gì</t>
        </is>
      </c>
      <c r="E4" s="121" t="inlineStr">
        <is>
          <t>Ghi chú (tên file, đường dẫn)</t>
        </is>
      </c>
    </row>
    <row r="5" ht="33.75" customHeight="1" s="112">
      <c r="A5" s="122" t="inlineStr">
        <is>
          <t>Mô hình hiệu quả đầu tư 3–6–12 tháng và tài liệu yêu cầu sản phẩm (Phase 1, Ngày 6)</t>
        </is>
      </c>
      <c r="B5" s="123" t="inlineStr">
        <is>
          <t>Chưa</t>
        </is>
      </c>
      <c r="C5" s="122" t="inlineStr">
        <is>
          <t>Làm phiên bản 2; so sánh con số cũ và mới ở trang 3–5</t>
        </is>
      </c>
      <c r="D5" s="122" t="inlineStr">
        <is>
          <t>Dựng mới trên file này</t>
        </is>
      </c>
      <c r="E5" s="123" t="inlineStr">
        <is>
          <t>Không có tài liệu Ngày 6; dùng AI IN ACTION · TRACK 1 · KHÓA 4 · CS9.md, Đề 2.</t>
        </is>
      </c>
    </row>
    <row r="6" ht="33.75" customHeight="1" s="112">
      <c r="A6" s="122" t="inlineStr">
        <is>
          <t>Bảng giám sát agent: token, chi phí theo ngày (Ngày 13)</t>
        </is>
      </c>
      <c r="B6" s="123" t="inlineStr">
        <is>
          <t>Chưa</t>
        </is>
      </c>
      <c r="C6" s="122" t="inlineStr">
        <is>
          <t>Lấy số lần gọi AI và token thật ở trang 1</t>
        </is>
      </c>
      <c r="D6" s="122" t="inlineStr">
        <is>
          <t>Chạy thử 5 câu hỏi, xem số token ở trang quản lý API (cách làm: trang 1, cột Gợi ý)</t>
        </is>
      </c>
      <c r="E6" s="123" t="inlineStr">
        <is>
          <t>Không có bảng token Ngày 13; dùng AI IN ACTION · TRACK 1 · KHÓA 4 · CS9.md, Đề 2, Trang 1.</t>
        </is>
      </c>
    </row>
    <row r="7" ht="33.75" customHeight="1" s="112">
      <c r="A7" s="122" t="inlineStr">
        <is>
          <t>Báo cáo đánh giá chất lượng (Ngày 14 hoặc buổi đánh giá Track 1)</t>
        </is>
      </c>
      <c r="B7" s="123" t="inlineStr">
        <is>
          <t>Chưa</t>
        </is>
      </c>
      <c r="C7" s="122" t="inlineStr">
        <is>
          <t>Tỷ lệ chưa đạt → tỷ lệ cần người kiểm tra ở trang 1</t>
        </is>
      </c>
      <c r="D7" s="122" t="inlineStr">
        <is>
          <t>Giả định 10–20%, ghi lý do</t>
        </is>
      </c>
      <c r="E7" s="123" t="inlineStr">
        <is>
          <t>Không có báo cáo chất lượng Ngày 14; dùng tỷ lệ 10% trong AI IN ACTION · TRACK 1 · KHÓA 4 · CS9.md, Đề 2, Trang 1.</t>
        </is>
      </c>
    </row>
    <row r="8" ht="33.75" customHeight="1" s="112">
      <c r="A8" s="122" t="inlineStr">
        <is>
          <t>Phiếu bài tập 1 và bài về nhà một trang (Ngày 22)</t>
        </is>
      </c>
      <c r="B8" s="123" t="inlineStr">
        <is>
          <t>Chưa</t>
        </is>
      </c>
      <c r="C8" s="122" t="inlineStr">
        <is>
          <t>Cách tính tiền, chi phí mỗi việc, giá đề xuất: chép vào trang 1–2 rồi soát lại</t>
        </is>
      </c>
      <c r="D8" s="122" t="inlineStr">
        <is>
          <t>Làm nhanh ở Nhiệm vụ 1–2 theo bản mẫu (cột Gợi ý ở trang 1–2)</t>
        </is>
      </c>
      <c r="E8" s="123" t="inlineStr">
        <is>
          <t>Không có phiếu giá Ngày 22; dùng AI IN ACTION · TRACK 1 · KHÓA 4 · CS9.md, Đề 2, Trang 2.</t>
        </is>
      </c>
    </row>
    <row r="9" ht="33.75" customHeight="1" s="112">
      <c r="A9" s="122" t="inlineStr">
        <is>
          <t>Bảng theo dõi chỉ số và luật xử lý (Ngày 23)</t>
        </is>
      </c>
      <c r="B9" s="123" t="inlineStr">
        <is>
          <t>Chưa</t>
        </is>
      </c>
      <c r="C9" s="122" t="inlineStr">
        <is>
          <t>Điền mức cảnh báo tự tính (trang 5, dòng 72–77) vào cột [TỰ TÍNH]</t>
        </is>
      </c>
      <c r="D9" s="122" t="inlineStr">
        <is>
          <t>Dùng bảng mức cảnh báo ở trang 5 làm khung</t>
        </is>
      </c>
      <c r="E9" s="123" t="inlineStr">
        <is>
          <t>Chưa có bảng Ngày 23; tự tính từ workbook này, Sheet 5, dòng 72–77.</t>
        </is>
      </c>
    </row>
    <row r="10" ht="61.5" customHeight="1" s="112">
      <c r="A10" s="122" t="inlineStr">
        <is>
          <t>Sản phẩm của nhóm từ các buổi trước</t>
        </is>
      </c>
      <c r="B10" s="123" t="inlineStr">
        <is>
          <t>Có</t>
        </is>
      </c>
      <c r="C10" s="122" t="inlineStr">
        <is>
          <t>Dùng xuyên suốt</t>
        </is>
      </c>
      <c r="D10" s="122" t="inlineStr">
        <is>
          <t>Nhóm ngồi chung bàn nhưng khác dự án: chọn 1 trong 3 đề bài giả định trong file CS9_DeBai_GiaDinh.pdf (đề cho sẵn số liệu trang 1–3; ghi tên đề ở cột Ghi chú)</t>
        </is>
      </c>
      <c r="E10" s="123" t="inlineStr">
        <is>
          <t>AI IN ACTION · TRACK 1 · KHÓA 4 · CS9.md — Đề 2 ChấmNhanh</t>
        </is>
      </c>
    </row>
    <row r="12" ht="15" customHeight="1" s="112">
      <c r="A12" s="116" t="inlineStr">
        <is>
          <t>Số đầu vào nhóm đã có</t>
        </is>
      </c>
      <c r="B12" s="118">
        <f>COUNTIF(B5:B10,"Có")</f>
        <v/>
      </c>
    </row>
    <row r="13" ht="15" customHeight="1" s="112">
      <c r="A13" s="120"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11" min="1" max="1"/>
    <col width="60" customWidth="1" style="111" min="2" max="2"/>
    <col width="14" customWidth="1" style="111" min="3" max="5"/>
    <col width="30" customWidth="1" style="111" min="6" max="6"/>
    <col width="34" customWidth="1" style="111" min="7" max="7"/>
  </cols>
  <sheetData>
    <row r="1" ht="17.25" customHeight="1" s="112">
      <c r="A1" s="113" t="inlineStr">
        <is>
          <t>A · Bài tập tài chính doanh nghiệp căn bản: lập ba báo cáo tài chính</t>
        </is>
      </c>
    </row>
    <row r="2" ht="15" customHeight="1" s="112">
      <c r="A2" s="120"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12">
      <c r="A3" s="124"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12">
      <c r="A5" s="116" t="inlineStr">
        <is>
          <t>ĐỀ BÀI · Giao dịch 3 tháng đầu</t>
        </is>
      </c>
    </row>
    <row r="6" ht="31.5" customHeight="1" s="112">
      <c r="A6" s="125" t="inlineStr">
        <is>
          <t>STT</t>
        </is>
      </c>
      <c r="B6" s="125" t="inlineStr">
        <is>
          <t>Giao dịch</t>
        </is>
      </c>
      <c r="C6" s="125" t="inlineStr">
        <is>
          <t>Tháng 1</t>
        </is>
      </c>
      <c r="D6" s="125" t="inlineStr">
        <is>
          <t>Tháng 2</t>
        </is>
      </c>
      <c r="E6" s="125" t="inlineStr">
        <is>
          <t>Tháng 3</t>
        </is>
      </c>
      <c r="F6" s="125" t="inlineStr">
        <is>
          <t>Ghi chú</t>
        </is>
      </c>
      <c r="G6" s="125" t="inlineStr">
        <is>
          <t>Bài 1 · Vào báo cáo kết quả? (Có / Không · vì sao)</t>
        </is>
      </c>
    </row>
    <row r="7" ht="30" customHeight="1" s="112">
      <c r="A7" s="126" t="n">
        <v>1</v>
      </c>
      <c r="B7" s="127" t="inlineStr">
        <is>
          <t>Chủ sở hữu góp vốn bằng tiền</t>
        </is>
      </c>
      <c r="C7" s="128" t="n">
        <v>1000</v>
      </c>
      <c r="D7" s="128" t="n"/>
      <c r="E7" s="128" t="n"/>
      <c r="F7" s="129" t="n"/>
      <c r="G7" s="130" t="inlineStr">
        <is>
          <t>Không: vốn góp là vốn chủ sở hữu, không phải doanh thu</t>
        </is>
      </c>
    </row>
    <row r="8" ht="30" customHeight="1" s="112">
      <c r="A8" s="126" t="n">
        <v>2</v>
      </c>
      <c r="B8" s="127" t="inlineStr">
        <is>
          <t>Vay ngân hàng, gốc trả sau 3 năm</t>
        </is>
      </c>
      <c r="C8" s="128" t="n">
        <v>300</v>
      </c>
      <c r="D8" s="128" t="n"/>
      <c r="E8" s="128" t="n"/>
      <c r="F8" s="129" t="inlineStr">
        <is>
          <t>Lãi 12%/năm, trả cuối mỗi tháng</t>
        </is>
      </c>
      <c r="G8" s="130" t="inlineStr">
        <is>
          <t>Không: tiền vay là nợ; chỉ lãi vay vào báo cáo</t>
        </is>
      </c>
    </row>
    <row r="9" ht="30" customHeight="1" s="112">
      <c r="A9" s="126" t="n">
        <v>3</v>
      </c>
      <c r="B9" s="127" t="inlineStr">
        <is>
          <t>Mua máy chủ, trả tiền ngay</t>
        </is>
      </c>
      <c r="C9" s="128" t="n">
        <v>360</v>
      </c>
      <c r="D9" s="128" t="n"/>
      <c r="E9" s="128" t="n"/>
      <c r="F9" s="129" t="inlineStr">
        <is>
          <t>Dùng 36 tháng, khấu hao đều</t>
        </is>
      </c>
      <c r="G9" s="130" t="inlineStr">
        <is>
          <t>Không: mua tài sản dùng lâu; chỉ khấu hao vào báo cáo</t>
        </is>
      </c>
    </row>
    <row r="10" ht="30" customHeight="1" s="112">
      <c r="A10" s="126" t="n">
        <v>4</v>
      </c>
      <c r="B10" s="127" t="inlineStr">
        <is>
          <t>Bán gói tháng cho cửa hàng nhỏ, thu tiền ngay</t>
        </is>
      </c>
      <c r="C10" s="128" t="n">
        <v>50</v>
      </c>
      <c r="D10" s="128" t="n">
        <v>80</v>
      </c>
      <c r="E10" s="128" t="n">
        <v>110</v>
      </c>
      <c r="F10" s="129" t="n"/>
      <c r="G10" s="130" t="inlineStr">
        <is>
          <t>Có: doanh thu tháng nào ghi tháng đó</t>
        </is>
      </c>
    </row>
    <row r="11" ht="30" customHeight="1" s="112">
      <c r="A11" s="126" t="n">
        <v>5</v>
      </c>
      <c r="B11" s="127" t="inlineStr">
        <is>
          <t>Ngân hàng X trả trước gói 12 tháng</t>
        </is>
      </c>
      <c r="C11" s="128" t="n">
        <v>240</v>
      </c>
      <c r="D11" s="128" t="n"/>
      <c r="E11" s="128" t="n"/>
      <c r="F11" s="129" t="inlineStr">
        <is>
          <t>Dịch vụ chạy đều từ tháng 1</t>
        </is>
      </c>
      <c r="G11" s="130" t="inlineStr">
        <is>
          <t>Một phần: mỗi tháng 20 triệu; phần còn lại là doanh thu chưa thực hiện</t>
        </is>
      </c>
    </row>
    <row r="12" ht="30" customHeight="1" s="112">
      <c r="A12" s="126" t="n">
        <v>6</v>
      </c>
      <c r="B12" s="127" t="inlineStr">
        <is>
          <t>Dự án triển khai cho công ty Y được nghiệm thu</t>
        </is>
      </c>
      <c r="C12" s="128" t="n"/>
      <c r="D12" s="128" t="n">
        <v>90</v>
      </c>
      <c r="E12" s="128" t="n"/>
      <c r="F12" s="129" t="inlineStr">
        <is>
          <t>Y trả tiền sau 60 ngày (tháng 4)</t>
        </is>
      </c>
      <c r="G12" s="130" t="inlineStr">
        <is>
          <t>Có: 90 triệu doanh thu tháng 2, khi nghiệm thu</t>
        </is>
      </c>
    </row>
    <row r="13" ht="30" customHeight="1" s="112">
      <c r="A13" s="126" t="n">
        <v>7</v>
      </c>
      <c r="B13" s="127" t="inlineStr">
        <is>
          <t>Chi phí gọi AI phát sinh trong tháng</t>
        </is>
      </c>
      <c r="C13" s="128" t="n">
        <v>15</v>
      </c>
      <c r="D13" s="128" t="n">
        <v>25</v>
      </c>
      <c r="E13" s="128" t="n">
        <v>35</v>
      </c>
      <c r="F13" s="129" t="inlineStr">
        <is>
          <t>Nhà cung cấp cho trả vào tháng sau</t>
        </is>
      </c>
      <c r="G13" s="130" t="inlineStr">
        <is>
          <t>Có: ghi vào tháng dùng, dù trả tiền tháng sau</t>
        </is>
      </c>
    </row>
    <row r="14" ht="30" customHeight="1" s="112">
      <c r="A14" s="126" t="n">
        <v>8</v>
      </c>
      <c r="B14" s="127" t="inlineStr">
        <is>
          <t>Người kiểm tra câu trả lời, trả trong tháng</t>
        </is>
      </c>
      <c r="C14" s="128" t="n">
        <v>10</v>
      </c>
      <c r="D14" s="128" t="n">
        <v>10</v>
      </c>
      <c r="E14" s="128" t="n">
        <v>10</v>
      </c>
      <c r="F14" s="129" t="n"/>
      <c r="G14" s="130" t="inlineStr">
        <is>
          <t>Có: giá vốn</t>
        </is>
      </c>
    </row>
    <row r="15" ht="30" customHeight="1" s="112">
      <c r="A15" s="126" t="n">
        <v>9</v>
      </c>
      <c r="B15" s="127" t="inlineStr">
        <is>
          <t>Lương đội phát triển và bán hàng, trả trong tháng</t>
        </is>
      </c>
      <c r="C15" s="128" t="n">
        <v>120</v>
      </c>
      <c r="D15" s="128" t="n">
        <v>120</v>
      </c>
      <c r="E15" s="128" t="n">
        <v>120</v>
      </c>
      <c r="F15" s="129" t="n"/>
      <c r="G15" s="130" t="inlineStr">
        <is>
          <t>Có: chi phí hoạt động</t>
        </is>
      </c>
    </row>
    <row r="16" ht="30" customHeight="1" s="112">
      <c r="A16" s="126" t="n">
        <v>10</v>
      </c>
      <c r="B16" s="127" t="inlineStr">
        <is>
          <t>Thuê văn phòng, trả trong tháng</t>
        </is>
      </c>
      <c r="C16" s="128" t="n">
        <v>20</v>
      </c>
      <c r="D16" s="128" t="n">
        <v>20</v>
      </c>
      <c r="E16" s="128" t="n">
        <v>20</v>
      </c>
      <c r="F16" s="129" t="n"/>
      <c r="G16" s="130" t="inlineStr">
        <is>
          <t>Có: chi phí hoạt động</t>
        </is>
      </c>
    </row>
    <row r="17" ht="30" customHeight="1" s="112">
      <c r="A17" s="126" t="n">
        <v>11</v>
      </c>
      <c r="B17" s="127" t="inlineStr">
        <is>
          <t>Thuế thu nhập doanh nghiệp</t>
        </is>
      </c>
      <c r="C17" s="128" t="n">
        <v>0</v>
      </c>
      <c r="D17" s="128" t="n">
        <v>0</v>
      </c>
      <c r="E17" s="128" t="n">
        <v>0</v>
      </c>
      <c r="F17" s="129" t="inlineStr">
        <is>
          <t>Lỗ lũy kế nên chưa phát sinh thuế</t>
        </is>
      </c>
      <c r="G17" s="130" t="inlineStr">
        <is>
          <t>Có: bằng 0 vì đang lỗ</t>
        </is>
      </c>
    </row>
    <row r="19" ht="16.5" customHeight="1" s="112">
      <c r="A19" s="131" t="inlineStr">
        <is>
          <t>BÀI 1 · BÁO CÁO KẾT QUẢ KINH DOANH (10 phút). Ghi theo tháng phát sinh, không theo ngày tiền vào ra. Chi phí ghi số dương; dòng lợi nhuận = kết quả cộng trừ.</t>
        </is>
      </c>
    </row>
    <row r="20" ht="15" customHeight="1" s="112">
      <c r="B20" s="125" t="inlineStr">
        <is>
          <t>Khoản mục</t>
        </is>
      </c>
      <c r="C20" s="125" t="inlineStr">
        <is>
          <t>Tháng 1</t>
        </is>
      </c>
      <c r="D20" s="125" t="inlineStr">
        <is>
          <t>Tháng 2</t>
        </is>
      </c>
      <c r="E20" s="125" t="inlineStr">
        <is>
          <t>Tháng 3</t>
        </is>
      </c>
      <c r="F20" s="125" t="inlineStr">
        <is>
          <t>Cộng 3 tháng</t>
        </is>
      </c>
      <c r="G20" s="125" t="inlineStr">
        <is>
          <t>Tự kiểm tra</t>
        </is>
      </c>
    </row>
    <row r="21" ht="15" customHeight="1" s="112">
      <c r="B21" s="132" t="inlineStr">
        <is>
          <t>Doanh thu</t>
        </is>
      </c>
      <c r="C21" s="133" t="n">
        <v>70</v>
      </c>
      <c r="D21" s="133" t="n">
        <v>190</v>
      </c>
      <c r="E21" s="133" t="n">
        <v>130</v>
      </c>
      <c r="F21" s="134">
        <f>IF(COUNT(C21:E21)=0,"",SUM(C21:E21))</f>
        <v/>
      </c>
    </row>
    <row r="22" ht="15" customHeight="1" s="112">
      <c r="B22" s="132" t="inlineStr">
        <is>
          <t>Giá vốn (gọi AI + người kiểm tra)</t>
        </is>
      </c>
      <c r="C22" s="133" t="n">
        <v>25</v>
      </c>
      <c r="D22" s="133" t="n">
        <v>35</v>
      </c>
      <c r="E22" s="133" t="n">
        <v>45</v>
      </c>
      <c r="F22" s="134">
        <f>IF(COUNT(C22:E22)=0,"",SUM(C22:E22))</f>
        <v/>
      </c>
    </row>
    <row r="23" ht="15" customHeight="1" s="112">
      <c r="B23" s="135" t="inlineStr">
        <is>
          <t>Lợi nhuận gộp</t>
        </is>
      </c>
      <c r="C23" s="133" t="n">
        <v>45</v>
      </c>
      <c r="D23" s="133" t="n">
        <v>155</v>
      </c>
      <c r="E23" s="133" t="n">
        <v>85</v>
      </c>
      <c r="F23" s="136">
        <f>IF(COUNT(C23:E23)=0,"",SUM(C23:E23))</f>
        <v/>
      </c>
      <c r="G23" s="137">
        <f>IF(COUNT(C21:E21,C22:E22,C23:E23)&lt;9,"Chưa điền",IF(AND(ABS(C23-(C21-C22))&lt;0.01,ABS(D23-(D21-D22))&lt;0.01,ABS(E23-(E21-E22))&lt;0.01),"Đạt","Xem lại phép trừ"))</f>
        <v/>
      </c>
    </row>
    <row r="24" ht="15" customHeight="1" s="112">
      <c r="B24" s="132" t="inlineStr">
        <is>
          <t>Chi phí hoạt động (lương + văn phòng)</t>
        </is>
      </c>
      <c r="C24" s="133" t="n">
        <v>140</v>
      </c>
      <c r="D24" s="133" t="n">
        <v>140</v>
      </c>
      <c r="E24" s="133" t="n">
        <v>140</v>
      </c>
      <c r="F24" s="134">
        <f>IF(COUNT(C24:E24)=0,"",SUM(C24:E24))</f>
        <v/>
      </c>
    </row>
    <row r="25" ht="15" customHeight="1" s="112">
      <c r="B25" s="135" t="inlineStr">
        <is>
          <t>Lợi nhuận trước lãi vay, thuế và khấu hao (EBITDA)</t>
        </is>
      </c>
      <c r="C25" s="133" t="n">
        <v>-95</v>
      </c>
      <c r="D25" s="133" t="n">
        <v>15</v>
      </c>
      <c r="E25" s="133" t="n">
        <v>-55</v>
      </c>
      <c r="F25" s="136">
        <f>IF(COUNT(C25:E25)=0,"",SUM(C25:E25))</f>
        <v/>
      </c>
      <c r="G25" s="137">
        <f>IF(COUNT(C23:E23,C24:E24,C25:E25)&lt;9,"Chưa điền",IF(AND(ABS(C25-(C23-C24))&lt;0.01,ABS(D25-(D23-D24))&lt;0.01,ABS(E25-(E23-E24))&lt;0.01),"Đạt","Xem lại phép trừ"))</f>
        <v/>
      </c>
    </row>
    <row r="26" ht="15" customHeight="1" s="112">
      <c r="B26" s="132" t="inlineStr">
        <is>
          <t>Khấu hao</t>
        </is>
      </c>
      <c r="C26" s="133" t="n">
        <v>10</v>
      </c>
      <c r="D26" s="133" t="n">
        <v>10</v>
      </c>
      <c r="E26" s="133" t="n">
        <v>10</v>
      </c>
      <c r="F26" s="134">
        <f>IF(COUNT(C26:E26)=0,"",SUM(C26:E26))</f>
        <v/>
      </c>
    </row>
    <row r="27" ht="15" customHeight="1" s="112">
      <c r="B27" s="135" t="inlineStr">
        <is>
          <t>Lợi nhuận hoạt động</t>
        </is>
      </c>
      <c r="C27" s="133" t="n">
        <v>-105</v>
      </c>
      <c r="D27" s="133" t="n">
        <v>5</v>
      </c>
      <c r="E27" s="133" t="n">
        <v>-65</v>
      </c>
      <c r="F27" s="136">
        <f>IF(COUNT(C27:E27)=0,"",SUM(C27:E27))</f>
        <v/>
      </c>
      <c r="G27" s="137">
        <f>IF(COUNT(C25:E25,C26:E26,C27:E27)&lt;9,"Chưa điền",IF(AND(ABS(C27-(C25-C26))&lt;0.01,ABS(D27-(D25-D26))&lt;0.01,ABS(E27-(E25-E26))&lt;0.01),"Đạt","Xem lại phép trừ"))</f>
        <v/>
      </c>
    </row>
    <row r="28" ht="15" customHeight="1" s="112">
      <c r="B28" s="132" t="inlineStr">
        <is>
          <t>Lãi vay</t>
        </is>
      </c>
      <c r="C28" s="133" t="n">
        <v>3</v>
      </c>
      <c r="D28" s="133" t="n">
        <v>3</v>
      </c>
      <c r="E28" s="133" t="n">
        <v>3</v>
      </c>
      <c r="F28" s="134">
        <f>IF(COUNT(C28:E28)=0,"",SUM(C28:E28))</f>
        <v/>
      </c>
    </row>
    <row r="29" ht="15" customHeight="1" s="112">
      <c r="B29" s="135" t="inlineStr">
        <is>
          <t>Lợi nhuận trước thuế</t>
        </is>
      </c>
      <c r="C29" s="133" t="n">
        <v>-108</v>
      </c>
      <c r="D29" s="133" t="n">
        <v>2</v>
      </c>
      <c r="E29" s="133" t="n">
        <v>-68</v>
      </c>
      <c r="F29" s="136">
        <f>IF(COUNT(C29:E29)=0,"",SUM(C29:E29))</f>
        <v/>
      </c>
      <c r="G29" s="137">
        <f>IF(COUNT(C27:E27,C28:E28,C29:E29)&lt;9,"Chưa điền",IF(AND(ABS(C29-(C27-C28))&lt;0.01,ABS(D29-(D27-D28))&lt;0.01,ABS(E29-(E27-E28))&lt;0.01),"Đạt","Xem lại phép trừ"))</f>
        <v/>
      </c>
    </row>
    <row r="30" ht="15" customHeight="1" s="112">
      <c r="B30" s="132" t="inlineStr">
        <is>
          <t>Thuế thu nhập doanh nghiệp</t>
        </is>
      </c>
      <c r="C30" s="133" t="n">
        <v>0</v>
      </c>
      <c r="D30" s="133" t="n">
        <v>0</v>
      </c>
      <c r="E30" s="133" t="n">
        <v>0</v>
      </c>
      <c r="F30" s="134">
        <f>IF(COUNT(C30:E30)=0,"",SUM(C30:E30))</f>
        <v/>
      </c>
    </row>
    <row r="31" ht="15" customHeight="1" s="112">
      <c r="B31" s="135" t="inlineStr">
        <is>
          <t>Lợi nhuận sau thuế</t>
        </is>
      </c>
      <c r="C31" s="133" t="n">
        <v>-108</v>
      </c>
      <c r="D31" s="133" t="n">
        <v>2</v>
      </c>
      <c r="E31" s="133" t="n">
        <v>-68</v>
      </c>
      <c r="F31" s="136">
        <f>IF(COUNT(C31:E31)=0,"",SUM(C31:E31))</f>
        <v/>
      </c>
      <c r="G31" s="137">
        <f>IF(COUNT(C29:E29,C30:E30,C31:E31)&lt;9,"Chưa điền",IF(AND(ABS(C31-(C29-C30))&lt;0.01,ABS(D31-(D29-D30))&lt;0.01,ABS(E31-(E29-E30))&lt;0.01),"Đạt","Xem lại phép trừ"))</f>
        <v/>
      </c>
    </row>
    <row r="32" ht="15" customHeight="1" s="112">
      <c r="B32" s="132" t="inlineStr">
        <is>
          <t>Biên lợi nhuận gộp</t>
        </is>
      </c>
      <c r="C32" s="138">
        <f>IFERROR(C23/C21,"")</f>
        <v/>
      </c>
      <c r="D32" s="138">
        <f>IFERROR(D23/D21,"")</f>
        <v/>
      </c>
      <c r="E32" s="138">
        <f>IFERROR(E23/E21,"")</f>
        <v/>
      </c>
      <c r="F32" s="138">
        <f>IFERROR(F23/F21,"")</f>
        <v/>
      </c>
    </row>
    <row r="33" ht="45" customHeight="1" s="112">
      <c r="B33" s="139" t="inlineStr">
        <is>
          <t>KIỂM TRA ghi theo kỳ: tổng lợi nhuận sau thuế 3 tháng (ô F31) có bằng −174 (số ở câu 3) không?</t>
        </is>
      </c>
      <c r="G33" s="140">
        <f>IF(COUNT(C31:E31)&lt;3,"Chưa điền",IF(ABS(F31+174)&lt;0.01,"Đạt: đã ghi theo kỳ","Chưa đúng: có giao dịch đang ghi theo ngày tiền vào ra (xem cột G, dòng 7–17)"))</f>
        <v/>
      </c>
    </row>
    <row r="34" ht="16.5" customHeight="1" s="112">
      <c r="A34" s="131" t="inlineStr">
        <is>
          <t>BÀI 2 · BẢNG CÂN ĐỐI KẾ TOÁN cuối tháng 3 (Bài 2 và 3: 14 phút). Hao mòn lũy kế ghi số âm; lợi nhuận giữ lại đang lỗ thì ghi số âm.</t>
        </is>
      </c>
    </row>
    <row r="35" ht="15" customHeight="1" s="112">
      <c r="B35" s="125" t="inlineStr">
        <is>
          <t>Khoản mục</t>
        </is>
      </c>
      <c r="C35" s="125" t="inlineStr">
        <is>
          <t>Số tiền</t>
        </is>
      </c>
      <c r="G35" s="125" t="inlineStr">
        <is>
          <t>Tự kiểm tra</t>
        </is>
      </c>
    </row>
    <row r="36" ht="15" customHeight="1" s="112">
      <c r="B36" s="116" t="inlineStr">
        <is>
          <t>TÀI SẢN</t>
        </is>
      </c>
    </row>
    <row r="37" ht="15" customHeight="1" s="112">
      <c r="B37" s="132" t="inlineStr">
        <is>
          <t>Tiền</t>
        </is>
      </c>
      <c r="C37" s="133" t="n">
        <v>921</v>
      </c>
    </row>
    <row r="38" ht="15" customHeight="1" s="112">
      <c r="B38" s="132" t="inlineStr">
        <is>
          <t>Phải thu khách hàng</t>
        </is>
      </c>
      <c r="C38" s="133" t="n">
        <v>90</v>
      </c>
    </row>
    <row r="39" ht="15" customHeight="1" s="112">
      <c r="B39" s="132" t="inlineStr">
        <is>
          <t>Máy chủ — nguyên giá</t>
        </is>
      </c>
      <c r="C39" s="133" t="n">
        <v>360</v>
      </c>
    </row>
    <row r="40" ht="15" customHeight="1" s="112">
      <c r="B40" s="132" t="inlineStr">
        <is>
          <t>Hao mòn lũy kế</t>
        </is>
      </c>
      <c r="C40" s="133" t="n">
        <v>-30</v>
      </c>
    </row>
    <row r="41" ht="15" customHeight="1" s="112">
      <c r="B41" s="135" t="inlineStr">
        <is>
          <t>Tổng tài sản</t>
        </is>
      </c>
      <c r="C41" s="133" t="n">
        <v>1341</v>
      </c>
      <c r="G41" s="137">
        <f>IF(COUNT(C37:C41)&lt;5,"Chưa điền",IF(ABS(C41-SUM(C37:C40))&lt;0.01,"Đạt","Xem lại phép cộng"))</f>
        <v/>
      </c>
    </row>
    <row r="42" ht="15" customHeight="1" s="112">
      <c r="B42" s="116" t="inlineStr">
        <is>
          <t>NỢ PHẢI TRẢ</t>
        </is>
      </c>
    </row>
    <row r="43" ht="15" customHeight="1" s="112">
      <c r="B43" s="132" t="inlineStr">
        <is>
          <t>Phải trả nhà cung cấp</t>
        </is>
      </c>
      <c r="C43" s="133" t="n">
        <v>35</v>
      </c>
    </row>
    <row r="44" ht="15" customHeight="1" s="112">
      <c r="B44" s="132" t="inlineStr">
        <is>
          <t>Doanh thu chưa thực hiện</t>
        </is>
      </c>
      <c r="C44" s="133" t="n">
        <v>180</v>
      </c>
    </row>
    <row r="45" ht="15" customHeight="1" s="112">
      <c r="B45" s="132" t="inlineStr">
        <is>
          <t>Vay ngân hàng</t>
        </is>
      </c>
      <c r="C45" s="133" t="n">
        <v>300</v>
      </c>
    </row>
    <row r="46" ht="15" customHeight="1" s="112">
      <c r="B46" s="135" t="inlineStr">
        <is>
          <t>Tổng nợ phải trả</t>
        </is>
      </c>
      <c r="C46" s="133" t="n">
        <v>515</v>
      </c>
      <c r="G46" s="137">
        <f>IF(COUNT(C43:C46)&lt;4,"Chưa điền",IF(ABS(C46-SUM(C43:C45))&lt;0.01,"Đạt","Xem lại phép cộng"))</f>
        <v/>
      </c>
    </row>
    <row r="47" ht="15" customHeight="1" s="112">
      <c r="B47" s="116" t="inlineStr">
        <is>
          <t>VỐN CHỦ SỞ HỮU</t>
        </is>
      </c>
    </row>
    <row r="48" ht="15" customHeight="1" s="112">
      <c r="B48" s="132" t="inlineStr">
        <is>
          <t>Vốn góp</t>
        </is>
      </c>
      <c r="C48" s="133" t="n">
        <v>1000</v>
      </c>
    </row>
    <row r="49" ht="15" customHeight="1" s="112">
      <c r="B49" s="132" t="inlineStr">
        <is>
          <t>Lợi nhuận giữ lại</t>
        </is>
      </c>
      <c r="C49" s="133" t="n">
        <v>-174</v>
      </c>
    </row>
    <row r="50" ht="15" customHeight="1" s="112">
      <c r="B50" s="135" t="inlineStr">
        <is>
          <t>Tổng vốn chủ sở hữu</t>
        </is>
      </c>
      <c r="C50" s="133" t="n">
        <v>826</v>
      </c>
      <c r="G50" s="137">
        <f>IF(COUNT(C48:C50)&lt;3,"Chưa điền",IF(ABS(C50-SUM(C48:C49))&lt;0.01,"Đạt","Xem lại phép cộng"))</f>
        <v/>
      </c>
    </row>
    <row r="51" ht="15" customHeight="1" s="112">
      <c r="B51" s="132" t="inlineStr">
        <is>
          <t>Tổng nợ phải trả + vốn chủ sở hữu</t>
        </is>
      </c>
      <c r="C51" s="133" t="n">
        <v>1341</v>
      </c>
      <c r="G51" s="137">
        <f>IF(COUNT(C46,C50,C51)&lt;3,"Chưa điền",IF(ABS(C51-(C46+C50))&lt;0.01,"Đạt","Xem lại phép cộng"))</f>
        <v/>
      </c>
    </row>
    <row r="52" ht="15" customHeight="1" s="112">
      <c r="B52" s="135" t="inlineStr">
        <is>
          <t>KIỂM TRA: Tài sản = Nợ phải trả + Vốn chủ sở hữu?</t>
        </is>
      </c>
      <c r="G52" s="141">
        <f>IF(COUNT(C41,C51)&lt;2,"Chưa điền",IF(ABS(C41-C51)&lt;0.01,"Đạt: bảng đã cân","Chưa cân: tìm khoản ghi sai"))</f>
        <v/>
      </c>
    </row>
    <row r="53" ht="15" customHeight="1" s="112">
      <c r="B53" s="135" t="inlineStr">
        <is>
          <t>KIỂM TRA: Lợi nhuận giữ lại = tổng lợi nhuận sau thuế 3 tháng (bài 1)?</t>
        </is>
      </c>
      <c r="G53" s="141">
        <f>IF(COUNT(C49,F31)&lt;2,"Chưa điền",IF(ABS(C49-F31)&lt;0.01,"Đạt","Chưa khớp bài 1"))</f>
        <v/>
      </c>
    </row>
    <row r="55" ht="16.5" customHeight="1" s="112">
      <c r="A55" s="131" t="inlineStr">
        <is>
          <t>BÀI 3 · BÁO CÁO LƯU CHUYỂN TIỀN TỆ 3 tháng, phương pháp gián tiếp. Tiền vào ghi số dương, tiền ra ghi số âm; dòng 58–61 theo đúng chữ "Cộng" / "Trừ" ở đầu dòng.</t>
        </is>
      </c>
    </row>
    <row r="56" ht="15" customHeight="1" s="112">
      <c r="B56" s="125" t="inlineStr">
        <is>
          <t>Khoản mục</t>
        </is>
      </c>
      <c r="C56" s="125" t="inlineStr">
        <is>
          <t>Số tiền</t>
        </is>
      </c>
      <c r="G56" s="125" t="inlineStr">
        <is>
          <t>Tự kiểm tra</t>
        </is>
      </c>
    </row>
    <row r="57" ht="15" customHeight="1" s="112">
      <c r="B57" s="132" t="inlineStr">
        <is>
          <t>Lợi nhuận sau thuế</t>
        </is>
      </c>
      <c r="C57" s="133" t="n">
        <v>-174</v>
      </c>
    </row>
    <row r="58" ht="16.5" customHeight="1" s="112">
      <c r="B58" s="142" t="inlineStr">
        <is>
          <t>Cộng: khấu hao (không phải tiền chi ra) → số dương</t>
        </is>
      </c>
      <c r="C58" s="133" t="n">
        <v>30</v>
      </c>
    </row>
    <row r="59" ht="31.5" customHeight="1" s="112">
      <c r="B59" s="142" t="inlineStr">
        <is>
          <t>Trừ: phải thu khách hàng tăng thêm (đã ghi doanh thu, chưa thu tiền) → số âm</t>
        </is>
      </c>
      <c r="C59" s="133" t="n">
        <v>-90</v>
      </c>
    </row>
    <row r="60" ht="31.5" customHeight="1" s="112">
      <c r="B60" s="142" t="inlineStr">
        <is>
          <t>Cộng: phải trả nhà cung cấp tăng thêm (đã ghi chi phí, chưa trả tiền) → số dương</t>
        </is>
      </c>
      <c r="C60" s="133" t="n">
        <v>35</v>
      </c>
    </row>
    <row r="61" ht="16.5" customHeight="1" s="112">
      <c r="B61" s="142" t="inlineStr">
        <is>
          <t>Cộng: doanh thu chưa thực hiện tăng thêm (khách trả trước) → số dương</t>
        </is>
      </c>
      <c r="C61" s="133" t="n">
        <v>180</v>
      </c>
    </row>
    <row r="62" ht="15" customHeight="1" s="112">
      <c r="B62" s="135" t="inlineStr">
        <is>
          <t>Dòng tiền từ hoạt động kinh doanh</t>
        </is>
      </c>
      <c r="C62" s="133" t="n">
        <v>-19</v>
      </c>
      <c r="G62" s="137">
        <f>IF(COUNT(C57:C62)&lt;6,"Chưa điền",IF(ABS(C62-SUM(C57:C61))&lt;0.01,"Đạt","Xem lại phép cộng"))</f>
        <v/>
      </c>
    </row>
    <row r="63" ht="15" customHeight="1" s="112">
      <c r="B63" s="132" t="inlineStr">
        <is>
          <t>Mua máy chủ (tiền ra → số âm)</t>
        </is>
      </c>
      <c r="C63" s="133" t="n">
        <v>-360</v>
      </c>
    </row>
    <row r="64" ht="15" customHeight="1" s="112">
      <c r="B64" s="135" t="inlineStr">
        <is>
          <t>Dòng tiền từ hoạt động đầu tư</t>
        </is>
      </c>
      <c r="C64" s="133" t="n">
        <v>-360</v>
      </c>
      <c r="G64" s="137">
        <f>IF(COUNT(C63:C64)&lt;2,"Chưa điền",IF(ABS(C64-SUM(C63:C63))&lt;0.01,"Đạt","Xem lại phép cộng"))</f>
        <v/>
      </c>
    </row>
    <row r="65" ht="15" customHeight="1" s="112">
      <c r="B65" s="132" t="inlineStr">
        <is>
          <t>Góp vốn (tiền vào → số dương)</t>
        </is>
      </c>
      <c r="C65" s="133" t="n">
        <v>1000</v>
      </c>
    </row>
    <row r="66" ht="15" customHeight="1" s="112">
      <c r="B66" s="132" t="inlineStr">
        <is>
          <t>Vay ngân hàng (tiền vào → số dương)</t>
        </is>
      </c>
      <c r="C66" s="133" t="n">
        <v>300</v>
      </c>
    </row>
    <row r="67" ht="15" customHeight="1" s="112">
      <c r="B67" s="135" t="inlineStr">
        <is>
          <t>Dòng tiền từ hoạt động tài chính</t>
        </is>
      </c>
      <c r="C67" s="133" t="n">
        <v>1300</v>
      </c>
      <c r="G67" s="137">
        <f>IF(COUNT(C65:C67)&lt;3,"Chưa điền",IF(ABS(C67-SUM(C65:C66))&lt;0.01,"Đạt","Xem lại phép cộng"))</f>
        <v/>
      </c>
    </row>
    <row r="68" ht="15" customHeight="1" s="112">
      <c r="B68" s="135" t="inlineStr">
        <is>
          <t>Tiền tăng thêm trong kỳ</t>
        </is>
      </c>
      <c r="C68" s="133" t="n">
        <v>921</v>
      </c>
      <c r="G68" s="137">
        <f>IF(COUNT(C62,C64,C67,C68)&lt;4,"Chưa điền",IF(ABS(C68-(C62+C64+C67))&lt;0.01,"Đạt","Xem lại phép cộng"))</f>
        <v/>
      </c>
    </row>
    <row r="69" ht="15" customHeight="1" s="112">
      <c r="B69" s="132" t="inlineStr">
        <is>
          <t>Tiền đầu kỳ</t>
        </is>
      </c>
      <c r="C69" s="143" t="n">
        <v>0</v>
      </c>
    </row>
    <row r="70" ht="15" customHeight="1" s="112">
      <c r="B70" s="135" t="inlineStr">
        <is>
          <t>Tiền cuối kỳ</t>
        </is>
      </c>
      <c r="C70" s="133" t="n">
        <v>921</v>
      </c>
      <c r="G70" s="137">
        <f>IF(COUNT(C68:C70)&lt;3,"Chưa điền",IF(ABS(C70-(C68+C69))&lt;0.01,"Đạt","Xem lại phép cộng"))</f>
        <v/>
      </c>
    </row>
    <row r="71" ht="31.5" customHeight="1" s="112">
      <c r="B71" s="135" t="inlineStr">
        <is>
          <t>KIỂM TRA: Tiền cuối kỳ = dòng Tiền trên bảng cân đối?</t>
        </is>
      </c>
      <c r="G71" s="140">
        <f>IF(COUNT(C70,C37)&lt;2,"Chưa điền",IF(ABS(C70-C37)&lt;0.01,"Đạt: ba báo cáo đã khớp","Chưa khớp: soát dấu +/− ở dòng 58–66, rồi soát dòng Tiền ở bảng cân đối"))</f>
        <v/>
      </c>
    </row>
    <row r="72" ht="15" customHeight="1" s="112">
      <c r="B72" s="135" t="inlineStr">
        <is>
          <t>KIỂM TRA: Lợi nhuận sau thuế = bài 1?</t>
        </is>
      </c>
      <c r="G72" s="141">
        <f>IF(COUNT(C57,F31)&lt;2,"Chưa điền",IF(ABS(C57-F31)&lt;0.01,"Đạt","Chưa khớp bài 1"))</f>
        <v/>
      </c>
    </row>
    <row r="74" ht="15" customHeight="1" s="112">
      <c r="A74" s="116" t="inlineStr">
        <is>
          <t>CÂU HỎI 1–4 (làm sau Bài 2 và 3; câu 4 làm khi xong sớm). Mỗi câu 1–2 câu văn.</t>
        </is>
      </c>
    </row>
    <row r="75" ht="48" customHeight="1" s="112">
      <c r="B75" s="142" t="inlineStr">
        <is>
          <t>1. Tháng nào có lãi? Trong tháng đó tiền mặt tăng hay giảm, bao nhiêu, vì sao? (Gợi ý: chỉ cộng tiền thật vào và ra trong tháng đó: tiền gọi AI tháng 1 trả trong tháng 2; 90 triệu dự án Y chưa thu.)</t>
        </is>
      </c>
      <c r="C75" s="144" t="inlineStr">
        <is>
          <t>Tháng 2 lãi 2 triệu nhưng tiền giảm 88 triệu (1.077 xuống 989 triệu): 90 triệu doanh thu dự án Y đã ghi nhận nhưng chưa thu; đồng thời trả tiền gọi AI của tháng trước.</t>
        </is>
      </c>
      <c r="D75" s="145" t="n"/>
      <c r="E75" s="145" t="n"/>
      <c r="F75" s="145" t="n"/>
      <c r="G75" s="146" t="n"/>
    </row>
    <row r="76" ht="48" customHeight="1" s="112">
      <c r="B76" s="142" t="inlineStr">
        <is>
          <t>2. 240 triệu ngân hàng X trả trước nằm ở đâu trên bảng cân đối cuối tháng 3, bao nhiêu? Vì sao không ghi hết vào doanh thu?</t>
        </is>
      </c>
      <c r="C76" s="144" t="inlineStr">
        <is>
          <t>180 triệu nằm ở Doanh thu chưa thực hiện: công ty còn nghĩa vụ cung cấp 9 tháng dịch vụ cho ngân hàng X; 60 triệu của 3 tháng đã phục vụ mới là doanh thu.</t>
        </is>
      </c>
      <c r="D76" s="145" t="n"/>
      <c r="E76" s="145" t="n"/>
      <c r="F76" s="145" t="n"/>
      <c r="G76" s="146" t="n"/>
    </row>
    <row r="77" ht="48" customHeight="1" s="112">
      <c r="B77" s="142" t="inlineStr">
        <is>
          <t>3. Lỗ 174 triệu mà dòng tiền kinh doanh chỉ âm 19 triệu. Khoản nào bù vào? Có nên vui không?</t>
        </is>
      </c>
      <c r="C77" s="144" t="inlineStr">
        <is>
          <t>Dòng tiền kinh doanh tăng nhờ 180 triệu khách trả trước, 35 triệu chưa trả nhà cung cấp và 30 triệu khấu hao không dùng tiền; đó không phải lợi nhuận.</t>
        </is>
      </c>
      <c r="D77" s="145" t="n"/>
      <c r="E77" s="145" t="n"/>
      <c r="F77" s="145" t="n"/>
      <c r="G77" s="146" t="n"/>
    </row>
    <row r="78" ht="48" customHeight="1" s="112">
      <c r="B78" s="142" t="inlineStr">
        <is>
          <t>4. (Xong sớm) Nếu từ tháng 4 mọi thứ giữ như tháng 3, công ty còn trụ được khoảng bao nhiêu tháng?</t>
        </is>
      </c>
      <c r="C78" s="144" t="n"/>
      <c r="D78" s="145" t="n"/>
      <c r="E78" s="145" t="n"/>
      <c r="F78" s="145" t="n"/>
      <c r="G78" s="146" t="n"/>
    </row>
    <row r="80" ht="15" customHeight="1" s="112">
      <c r="A80" s="116" t="inlineStr">
        <is>
          <t>BÀI 5 · (Xong sớm) MUA MÁY CHỦ HAY THUÊ ĐÁM MÂY — so bằng giá trị hiện tại</t>
        </is>
      </c>
    </row>
    <row r="81" ht="31.5" customHeight="1" s="112">
      <c r="B81" s="124" t="inlineStr">
        <is>
          <t>Mua: trả 360 triệu ngay, dùng 36 tháng. Thuê đám mây cùng cấu hình: 12 triệu/tháng, trả cuối mỗi tháng, trong 36 tháng. Bỏ qua chi phí vận hành và giá trị còn lại của máy.</t>
        </is>
      </c>
    </row>
    <row r="82" ht="15" customHeight="1" s="112">
      <c r="B82" s="132" t="inlineStr">
        <is>
          <t>Giá mua máy chủ (triệu đồng)</t>
        </is>
      </c>
      <c r="C82" s="143" t="n">
        <v>360</v>
      </c>
    </row>
    <row r="83" ht="15" customHeight="1" s="112">
      <c r="B83" s="132" t="inlineStr">
        <is>
          <t>Tiền thuê mỗi tháng (triệu đồng)</t>
        </is>
      </c>
      <c r="C83" s="143" t="n">
        <v>12</v>
      </c>
    </row>
    <row r="84" ht="15" customHeight="1" s="112">
      <c r="B84" s="132" t="inlineStr">
        <is>
          <t>Số tháng</t>
        </is>
      </c>
      <c r="C84" s="143" t="n">
        <v>36</v>
      </c>
    </row>
    <row r="85" ht="15" customHeight="1" s="112">
      <c r="B85" s="132" t="inlineStr">
        <is>
          <t>Chi phí vốn / năm</t>
        </is>
      </c>
      <c r="C85" s="147" t="n">
        <v>0.15</v>
      </c>
    </row>
    <row r="86" ht="46.5" customHeight="1" s="112">
      <c r="B86" s="142" t="inlineStr">
        <is>
          <t>Giá trị hiện tại của 36 tháng tiền thuê. Gợi ý: =PV(C85/12; C84; -C83). Dấu trừ trước C83 để kết quả là số dương; máy đặt tiếng Anh dùng dấu phẩy thay dấu chấm phẩy.</t>
        </is>
      </c>
      <c r="C86" s="148" t="n"/>
      <c r="G86" s="137">
        <f>IF(C86="","Chưa điền",IF(ABS(C86-PV(C85/12,C84,-C83))&lt;1,"Đạt","Xem lại"))</f>
        <v/>
      </c>
    </row>
    <row r="87" ht="15" customHeight="1" s="112">
      <c r="B87" s="132" t="inlineStr">
        <is>
          <t>Nên mua hay thuê? (chọn Mua hoặc Thuê trong danh sách)</t>
        </is>
      </c>
      <c r="C87" s="149" t="n"/>
      <c r="G87" s="137">
        <f>IF(C87="","Chưa điền",IF(C87=IF(PV(C85/12,C84,-C83)&lt;C82,"Thuê","Mua"),"Đạt","Xem lại"))</f>
        <v/>
      </c>
    </row>
    <row r="88" ht="31.5" customHeight="1" s="112">
      <c r="B88" s="142" t="inlineStr">
        <is>
          <t>Nếu chi phí vốn chỉ 8%/năm: giá trị hiện tại của tiền thuê (gợi ý: =PV(0,08/12; C84; -C83))</t>
        </is>
      </c>
      <c r="C88" s="148" t="n"/>
      <c r="G88" s="137">
        <f>IF(C88="","Chưa điền",IF(ABS(C88-PV(0.08/12,C84,-C83))&lt;1,"Đạt","Xem lại"))</f>
        <v/>
      </c>
    </row>
    <row r="89" ht="15" customHeight="1" s="112">
      <c r="B89" s="132" t="inlineStr">
        <is>
          <t>Khi đó nên mua hay thuê?</t>
        </is>
      </c>
      <c r="C89" s="149" t="n"/>
      <c r="G89" s="137">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errorStyle="stop" operator="between">
      <formula1>"Mua,Thuê"</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22" customWidth="1" style="111" min="2" max="2"/>
    <col width="18" customWidth="1" style="111" min="3" max="3"/>
    <col width="60" customWidth="1" style="111" min="4" max="4"/>
    <col width="64" customWidth="1" style="111" min="5" max="5"/>
  </cols>
  <sheetData>
    <row r="1" ht="17.25" customHeight="1" s="112">
      <c r="A1" s="113" t="inlineStr">
        <is>
          <t>1 · Chi phí để AI làm xong 1 việc</t>
        </is>
      </c>
    </row>
    <row r="2" ht="15" customHeight="1" s="112">
      <c r="A2" s="120" t="inlineStr">
        <is>
          <t>'Việc' = 1 đơn vị công việc khách nhận được, ví dụ: 1 hội thoại được trả lời, 1 hồ sơ được đọc, 1 cuộc gọi.</t>
        </is>
      </c>
    </row>
    <row r="3" ht="31.5" customHeight="1" s="112">
      <c r="A3" s="150"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12">
      <c r="A4" s="125" t="inlineStr">
        <is>
          <t>Hạng mục</t>
        </is>
      </c>
      <c r="B4" s="125" t="inlineStr">
        <is>
          <t>Giá trị</t>
        </is>
      </c>
      <c r="C4" s="125" t="inlineStr">
        <is>
          <t>Đơn vị</t>
        </is>
      </c>
      <c r="D4" s="125" t="inlineStr">
        <is>
          <t>Nguồn / lý do</t>
        </is>
      </c>
      <c r="E4" s="125" t="inlineStr">
        <is>
          <t>Gợi ý cách lấy số · bản mẫu</t>
        </is>
      </c>
    </row>
    <row r="5" ht="30" customHeight="1" s="112">
      <c r="A5" s="151" t="inlineStr">
        <is>
          <t>Mô tả 1 việc (Ngày 22 gọi là job)</t>
        </is>
      </c>
      <c r="B5" s="152" t="inlineStr">
        <is>
          <t>1 bài viết tiếng Anh 250–300 từ được chấm theo 4 tiêu chí và nhận xét</t>
        </is>
      </c>
      <c r="C5" s="153" t="n"/>
      <c r="D5" s="154" t="inlineStr">
        <is>
          <t>Đề bài 2 — ChấmNhanh; một bài 250–300 từ được chấm 4 tiêu chí và nhận xét.</t>
        </is>
      </c>
      <c r="E5" s="155" t="inlineStr">
        <is>
          <t>Một câu: AI nhận gì, trả ra gì cho khách. Bản mẫu: trả lời 1 hội thoại Zalo của khách cho cửa hàng nhỏ.</t>
        </is>
      </c>
    </row>
    <row r="6" ht="30" customHeight="1" s="112">
      <c r="A6" s="151" t="inlineStr">
        <is>
          <t>Số lần gọi mô hình / việc</t>
        </is>
      </c>
      <c r="B6" s="156" t="n">
        <v>2</v>
      </c>
      <c r="C6" s="153" t="inlineStr">
        <is>
          <t>lần</t>
        </is>
      </c>
      <c r="D6" s="154" t="inlineStr">
        <is>
          <t>Đề bài 2 — 2 lần gọi: chấm điểm và viết nhận xét.</t>
        </is>
      </c>
      <c r="E6" s="155" t="inlineStr">
        <is>
          <t>Đếm số bước phải gọi mô hình cho 1 việc: hiểu câu hỏi, tra cứu, soạn trả lời, tự kiểm tra. Bản mẫu: 2.</t>
        </is>
      </c>
    </row>
    <row r="7" ht="43.5" customHeight="1" s="112">
      <c r="A7" s="151" t="inlineStr">
        <is>
          <t>Token đầu vào / lần gọi</t>
        </is>
      </c>
      <c r="B7" s="156" t="n">
        <v>3000</v>
      </c>
      <c r="C7" s="153" t="inlineStr">
        <is>
          <t>token</t>
        </is>
      </c>
      <c r="D7" s="154" t="inlineStr">
        <is>
          <t>Đề bài 2 — 3.000 token đầu vào/lần: đề, bài viết, thang điểm, bài mẫu.</t>
        </is>
      </c>
      <c r="E7" s="155"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12">
      <c r="A8" s="151" t="inlineStr">
        <is>
          <t>Token đầu ra / lần gọi</t>
        </is>
      </c>
      <c r="B8" s="156" t="n">
        <v>800</v>
      </c>
      <c r="C8" s="153" t="inlineStr">
        <is>
          <t>token</t>
        </is>
      </c>
      <c r="D8" s="154" t="inlineStr">
        <is>
          <t>Đề bài 2 — 800 token đầu ra/lần.</t>
        </is>
      </c>
      <c r="E8" s="155" t="inlineStr">
        <is>
          <t>Độ dài câu trả lời, đếm bằng cách chạy thử. Bản mẫu: 300 (1–3 câu ngắn).</t>
        </is>
      </c>
    </row>
    <row r="9" ht="43.5" customHeight="1" s="112">
      <c r="A9" s="151" t="inlineStr">
        <is>
          <t>Giá token đầu vào</t>
        </is>
      </c>
      <c r="B9" s="156" t="n">
        <v>2</v>
      </c>
      <c r="C9" s="153" t="inlineStr">
        <is>
          <t>USD / 1 triệu token</t>
        </is>
      </c>
      <c r="D9" s="154" t="inlineStr">
        <is>
          <t>Đề bài 2 — Claude Sonnet 5.5: 2 USD/triệu token đầu vào.</t>
        </is>
      </c>
      <c r="E9" s="155" t="inlineStr">
        <is>
          <t>Chọn 1 mô hình ở trang 9 hoặc trang giá chính thức. Ghi tên mô hình, ngày tra, đường dẫn ở cột D. Bản mẫu: 0,4 USD (mô hình nhỏ giả định; nhóm thay bằng giá mô hình thật).</t>
        </is>
      </c>
    </row>
    <row r="10" ht="30" customHeight="1" s="112">
      <c r="A10" s="151" t="inlineStr">
        <is>
          <t>Giá token đầu ra</t>
        </is>
      </c>
      <c r="B10" s="156" t="n">
        <v>10</v>
      </c>
      <c r="C10" s="153" t="inlineStr">
        <is>
          <t>USD / 1 triệu token</t>
        </is>
      </c>
      <c r="D10" s="154" t="inlineStr">
        <is>
          <t>Đề bài 2 — Claude Sonnet 5.5: 10 USD/triệu token đầu ra.</t>
        </is>
      </c>
      <c r="E10" s="155" t="inlineStr">
        <is>
          <t>Như dòng 9. Giá đầu ra thường cao hơn đầu vào nhiều lần. Bản mẫu: 1,6 USD.</t>
        </is>
      </c>
    </row>
    <row r="11" ht="30" customHeight="1" s="112">
      <c r="A11" s="151" t="inlineStr">
        <is>
          <t>Tỷ giá</t>
        </is>
      </c>
      <c r="B11" s="156" t="n">
        <v>26170</v>
      </c>
      <c r="C11" s="153" t="inlineStr">
        <is>
          <t>VND / USD</t>
        </is>
      </c>
      <c r="D11" s="154" t="inlineStr">
        <is>
          <t>Đề bài 2 — 26.170 đồng/USD, số liệu bài tập.</t>
        </is>
      </c>
      <c r="E11" s="155" t="inlineStr">
        <is>
          <t>Tỷ giá bán ra Vietcombank ở trang 9 (26.170 đồng, ngày 04/10/2026) hoặc tra mới, ghi ngày. Bản mẫu: 26.000.</t>
        </is>
      </c>
    </row>
    <row r="12" ht="30" customHeight="1" s="112">
      <c r="A12" s="151" t="inlineStr">
        <is>
          <t>Tỷ lệ gọi lại khi lỗi</t>
        </is>
      </c>
      <c r="B12" s="157" t="n">
        <v>0.05</v>
      </c>
      <c r="C12" s="153" t="inlineStr">
        <is>
          <t>%</t>
        </is>
      </c>
      <c r="D12" s="154" t="inlineStr">
        <is>
          <t>Đề bài 2 — gọi lại khi lỗi 5%.</t>
        </is>
      </c>
      <c r="E12" s="155" t="inlineStr">
        <is>
          <t>Tỷ lệ việc phải gọi lại vì lỗi, hết thời gian chờ, trả lời hỏng. Chưa đo: giả định 5–10%, ghi lý do. Bản mẫu: 10%.</t>
        </is>
      </c>
    </row>
    <row r="13" ht="43.5" customHeight="1" s="112">
      <c r="A13" s="151" t="inlineStr">
        <is>
          <t>Hạ tầng / việc (máy chủ, cơ sở dữ liệu, gửi tin)</t>
        </is>
      </c>
      <c r="B13" s="156" t="n">
        <v>80</v>
      </c>
      <c r="C13" s="153" t="inlineStr">
        <is>
          <t>VND</t>
        </is>
      </c>
      <c r="D13" s="154" t="inlineStr">
        <is>
          <t>Đề bài 2 — hạ tầng 80 đồng/bài.</t>
        </is>
      </c>
      <c r="E13" s="155" t="inlineStr">
        <is>
          <t>Hoá đơn hạ tầng tăng theo lượt dùng (máy chủ, cơ sở dữ liệu, gửi tin) mỗi tháng ÷ số việc mỗi tháng. Phần trả cố định hằng tháng để ở trang 3, dòng 11. Bản mẫu: 100 đồng.</t>
        </is>
      </c>
    </row>
    <row r="14" ht="30" customHeight="1" s="112">
      <c r="A14" s="151" t="inlineStr">
        <is>
          <t>Tỷ lệ việc cần người kiểm tra</t>
        </is>
      </c>
      <c r="B14" s="157" t="n">
        <v>0.1</v>
      </c>
      <c r="C14" s="153" t="inlineStr">
        <is>
          <t>%</t>
        </is>
      </c>
      <c r="D14" s="154" t="inlineStr">
        <is>
          <t>Đề bài 2 — 10% bài sát ngưỡng hoặc khiếu nại cần giáo viên kiểm tra.</t>
        </is>
      </c>
      <c r="E14" s="155" t="inlineStr">
        <is>
          <t>Lấy từ báo cáo đánh giá chất lượng (tỷ lệ trả lời chưa đạt). Chưa có: giả định 10–20%. Bản mẫu: 10%.</t>
        </is>
      </c>
    </row>
    <row r="15" ht="15.75" customHeight="1" s="112">
      <c r="A15" s="151" t="inlineStr">
        <is>
          <t>Số phút người kiểm tra / việc</t>
        </is>
      </c>
      <c r="B15" s="156" t="n">
        <v>3</v>
      </c>
      <c r="C15" s="153" t="inlineStr">
        <is>
          <t>phút</t>
        </is>
      </c>
      <c r="D15" s="154" t="inlineStr">
        <is>
          <t>Đề bài 2 — 3 phút cho mỗi bài cần kiểm tra.</t>
        </is>
      </c>
      <c r="E15" s="155" t="inlineStr">
        <is>
          <t>Thời gian 1 người đọc và sửa 1 kết quả. Bản mẫu: 1,5 phút.</t>
        </is>
      </c>
    </row>
    <row r="16" ht="30" customHeight="1" s="112">
      <c r="A16" s="151" t="inlineStr">
        <is>
          <t>Chi phí nhân sự kiểm tra</t>
        </is>
      </c>
      <c r="B16" s="156" t="n">
        <v>120000</v>
      </c>
      <c r="C16" s="153" t="inlineStr">
        <is>
          <t>VND / giờ</t>
        </is>
      </c>
      <c r="D16" s="154" t="inlineStr">
        <is>
          <t>Đề bài 2 — giáo viên 120.000 đồng/giờ.</t>
        </is>
      </c>
      <c r="E16" s="155" t="inlineStr">
        <is>
          <t>Bằng (lương tháng + bảo hiểm) ÷ số giờ làm mỗi tháng (khoảng 176–208 giờ). Lương tối thiểu ở trang 9 chỉ là mức sàn. Bản mẫu: 60.000 đồng/giờ.</t>
        </is>
      </c>
    </row>
    <row r="17" ht="30" customHeight="1" s="112">
      <c r="A17" s="151" t="inlineStr">
        <is>
          <t>Đánh giá chất lượng, giám sát, gán nhãn lại / việc</t>
        </is>
      </c>
      <c r="B17" s="156" t="n">
        <v>150</v>
      </c>
      <c r="C17" s="153" t="inlineStr">
        <is>
          <t>VND</t>
        </is>
      </c>
      <c r="D17" s="154" t="inlineStr">
        <is>
          <t>Đề bài 2 — đánh giá chất lượng/chấm lại mẫu 150 đồng/bài.</t>
        </is>
      </c>
      <c r="E17" s="155" t="inlineStr">
        <is>
          <t>Chi phí chạy bộ câu hỏi đánh giá, gán nhãn lại mỗi tháng ÷ số việc mỗi tháng. Bản mẫu: 60 đồng.</t>
        </is>
      </c>
    </row>
    <row r="18" ht="15.75" customHeight="1" s="112">
      <c r="A18" s="151" t="inlineStr">
        <is>
          <t>Chi phí khác / việc (tuân thủ, lưu nhật ký…)</t>
        </is>
      </c>
      <c r="B18" s="156" t="n">
        <v>20</v>
      </c>
      <c r="C18" s="153" t="inlineStr">
        <is>
          <t>VND</t>
        </is>
      </c>
      <c r="D18" s="154" t="inlineStr">
        <is>
          <t>Đề bài 2 — chi phí khác 20 đồng/bài.</t>
        </is>
      </c>
      <c r="E18" s="155" t="inlineStr">
        <is>
          <t>Lưu nhật ký, bảo mật, tuân thủ. Ghi 0 thì nói vì sao. Bản mẫu: 30 đồng.</t>
        </is>
      </c>
    </row>
    <row r="20" ht="15" customHeight="1" s="112">
      <c r="A20" s="116" t="inlineStr">
        <is>
          <t>KẾT QUẢ</t>
        </is>
      </c>
    </row>
    <row r="21" ht="15" customHeight="1" s="112">
      <c r="A21" s="158" t="inlineStr">
        <is>
          <t>Chi phí gọi AI / việc (đã tính gọi lại)</t>
        </is>
      </c>
      <c r="B21" s="159">
        <f>IFERROR(B6*(B7*B9+B8*B10)/1000000*B11*(1+B12),0)</f>
        <v/>
      </c>
    </row>
    <row r="22" ht="15" customHeight="1" s="112">
      <c r="A22" s="158" t="inlineStr">
        <is>
          <t>Chi phí người kiểm tra / việc</t>
        </is>
      </c>
      <c r="B22" s="159">
        <f>IFERROR(B14*B15/60*B16,0)</f>
        <v/>
      </c>
    </row>
    <row r="23" ht="15" customHeight="1" s="112">
      <c r="A23" s="158" t="inlineStr">
        <is>
          <t>Hạ tầng + đánh giá + khác / việc</t>
        </is>
      </c>
      <c r="B23" s="159">
        <f>B13+B17+B18</f>
        <v/>
      </c>
    </row>
    <row r="24" ht="15.75" customHeight="1" s="112">
      <c r="A24" s="158" t="inlineStr">
        <is>
          <t>TỔNG CHI PHÍ MỖI VIỆC</t>
        </is>
      </c>
      <c r="B24" s="160">
        <f>B21+B22+B23</f>
        <v/>
      </c>
      <c r="E24" s="124" t="inlineStr">
        <is>
          <t>Bản mẫu: khoảng 413 đồng mỗi việc, trong đó gọi AI chỉ khoảng 73 đồng.</t>
        </is>
      </c>
    </row>
    <row r="25" ht="15" customHeight="1" s="112">
      <c r="A25" s="158" t="inlineStr">
        <is>
          <t>Phần chìm so với chi phí gọi AI</t>
        </is>
      </c>
      <c r="B25" s="161">
        <f>IFERROR((B24-B21)/B21,0)</f>
        <v/>
      </c>
      <c r="C25" s="162" t="inlineStr">
        <is>
          <t>Dưới 30%: rà lại xem đã đủ các khoản chưa (kinh nghiệm giảng viên). Không thêm khoản bịa chỉ để đạt mốc.</t>
        </is>
      </c>
    </row>
    <row r="26" ht="15" customHeight="1" s="112">
      <c r="A26" s="158" t="inlineStr">
        <is>
          <t>Giá sàn mỗi việc = 3 × chi phí mỗi việc</t>
        </is>
      </c>
      <c r="B26" s="159">
        <f>3*B24</f>
        <v/>
      </c>
      <c r="C26" s="162" t="inlineStr">
        <is>
          <t>Dùng cho giá từng việc, kể cả giá vượt hạn mức (biên ≈ 67%): chừa đệm cho khách dùng nhiều và giá AI biến động</t>
        </is>
      </c>
    </row>
    <row r="27" ht="15" customHeight="1" s="112">
      <c r="A27" s="158" t="inlineStr">
        <is>
          <t>Giá tối thiểu để biên lợi nhuận gộp đạt 60%</t>
        </is>
      </c>
      <c r="B27" s="159">
        <f>B24/(1-0.6)</f>
        <v/>
      </c>
      <c r="C27" s="162"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30" customWidth="1" style="111" min="2" max="3"/>
    <col width="22" customWidth="1" style="111" min="4" max="4"/>
    <col width="20" customWidth="1" style="111" min="5" max="5"/>
    <col width="18" customWidth="1" style="111" min="6" max="6"/>
    <col width="22" customWidth="1" style="111" min="7" max="7"/>
    <col width="20" customWidth="1" style="111" min="8" max="8"/>
    <col width="46" customWidth="1" style="111" min="9" max="9"/>
  </cols>
  <sheetData>
    <row r="1" ht="17.25" customHeight="1" s="112">
      <c r="A1" s="113" t="inlineStr">
        <is>
          <t>2 · Định giá: cách tính tiền, gói giá và nhóm khách dùng nhiều</t>
        </is>
      </c>
    </row>
    <row r="2" ht="15" customHeight="1" s="112">
      <c r="A2" s="120" t="inlineStr">
        <is>
          <t>So sánh gói kết hợp (phí cố định + phí vượt hạn mức) với gói không giới hạn để thấy rủi ro từ nhóm khách dùng nhiều.</t>
        </is>
      </c>
    </row>
    <row r="4" ht="15" customHeight="1" s="112">
      <c r="A4" s="125" t="inlineStr">
        <is>
          <t>Mục</t>
        </is>
      </c>
      <c r="B4" s="125" t="inlineStr">
        <is>
          <t>Giá trị</t>
        </is>
      </c>
      <c r="C4" s="125" t="inlineStr">
        <is>
          <t>Ghi chú</t>
        </is>
      </c>
      <c r="D4" s="125" t="inlineStr">
        <is>
          <t>Nguồn / lý do</t>
        </is>
      </c>
    </row>
    <row r="5" ht="48" customHeight="1" s="112">
      <c r="A5" s="122" t="inlineStr">
        <is>
          <t>Khách trả tiền từ ngân sách nào?</t>
        </is>
      </c>
      <c r="B5" s="163" t="inlineStr">
        <is>
          <t>Ngân sách nhân sự: thời gian giáo viên chấm và nhận xét bài</t>
        </is>
      </c>
      <c r="C5" s="115" t="inlineStr">
        <is>
          <t>Phần mềm hay Nhân sự?</t>
        </is>
      </c>
      <c r="D5" s="164" t="inlineStr">
        <is>
          <t>Đề bài 2 — ngân sách nhân sự/giờ chấm của giáo viên.</t>
        </is>
      </c>
    </row>
    <row r="6" ht="63" customHeight="1" s="112">
      <c r="A6" s="122" t="inlineStr">
        <is>
          <t>Cách tính tiền đã chọn</t>
        </is>
      </c>
      <c r="B6" s="163" t="inlineStr">
        <is>
          <t>Kết hợp (phí cố định + vượt hạn mức)</t>
        </is>
      </c>
      <c r="C6" s="115" t="inlineStr">
        <is>
          <t>Bảng giá dưới luôn có dạng phí cố định + phí mỗi việc vượt hạn mức. Cách nhập cho từng cách tính tiền: dòng 35–40.</t>
        </is>
      </c>
      <c r="D6" s="164" t="inlineStr">
        <is>
          <t>Đề bài 2 — gói tháng kết hợp phí cố định và phí vượt.</t>
        </is>
      </c>
    </row>
    <row r="7" ht="48" customHeight="1" s="112">
      <c r="A7" s="122" t="inlineStr">
        <is>
          <t>Lý do chọn (hai câu hỏi: đo được kết quả? AI tự làm trọn?)</t>
        </is>
      </c>
      <c r="B7" s="163" t="inlineStr">
        <is>
          <t>Gói tháng tạo doanh thu cơ bản; bài vượt 600 tính theo lượt. AI chấm đủ 4 tiêu chí nhưng giáo viên kiểm tra bài sát ngưỡng hoặc bị khiếu nại.</t>
        </is>
      </c>
      <c r="D7" s="164" t="inlineStr">
        <is>
          <t>Đề bài 2 — phí cố định gồm 600 bài, sau đó tính vượt theo lượt.</t>
        </is>
      </c>
    </row>
    <row r="8" ht="48" customHeight="1" s="112">
      <c r="A8" s="122" t="inlineStr">
        <is>
          <t>Neo giá so với cái gì?</t>
        </is>
      </c>
      <c r="B8" s="163" t="inlineStr">
        <is>
          <t>Neo vào chi phí chấm thủ công: 10 phút/bài × 120.000 đồng/giờ = 20.000 đồng/bài trước kiểm tra lại.</t>
        </is>
      </c>
      <c r="C8" s="115" t="inlineStr">
        <is>
          <t>Lương hoặc chi phí thuê ngoài, không so với giá ChatGPT</t>
        </is>
      </c>
      <c r="D8" s="164" t="inlineStr">
        <is>
          <t>Đề bài 2 — giáo viên mất khoảng 10 phút/bài; lương 25 triệu/tháng.</t>
        </is>
      </c>
    </row>
    <row r="9" ht="15" customHeight="1" s="112">
      <c r="A9" s="158" t="inlineStr">
        <is>
          <t>Phí cố định / khách / tháng</t>
        </is>
      </c>
      <c r="B9" s="165" t="n">
        <v>3900000</v>
      </c>
      <c r="C9" s="111" t="inlineStr">
        <is>
          <t>VND</t>
        </is>
      </c>
      <c r="D9" s="164" t="inlineStr">
        <is>
          <t>Đề bài 2 — 3.900.000 đồng/trung tâm/tháng.</t>
        </is>
      </c>
    </row>
    <row r="10" ht="15" customHeight="1" s="112">
      <c r="A10" s="158" t="inlineStr">
        <is>
          <t>Số việc đã gồm trong phí cố định</t>
        </is>
      </c>
      <c r="B10" s="165" t="n">
        <v>600</v>
      </c>
      <c r="C10" s="111" t="inlineStr">
        <is>
          <t>việc / tháng</t>
        </is>
      </c>
      <c r="D10" s="164" t="inlineStr">
        <is>
          <t>Đề bài 2 — 600 bài gồm trong phí cố định.</t>
        </is>
      </c>
    </row>
    <row r="11" ht="15" customHeight="1" s="112">
      <c r="A11" s="158" t="inlineStr">
        <is>
          <t>Giá mỗi việc vượt hạn mức</t>
        </is>
      </c>
      <c r="B11" s="165" t="n">
        <v>5500</v>
      </c>
      <c r="C11" s="111" t="inlineStr">
        <is>
          <t>VND / việc</t>
        </is>
      </c>
      <c r="D11" s="164" t="inlineStr">
        <is>
          <t>Đề bài 2 — 5.500 đồng/bài vượt hạn mức.</t>
        </is>
      </c>
    </row>
    <row r="12" ht="31.5" customHeight="1" s="112">
      <c r="A12" s="122" t="inlineStr">
        <is>
          <t>Giá gói không giới hạn (để so sánh; thường = phí cố định dòng 9)</t>
        </is>
      </c>
      <c r="B12" s="165" t="n">
        <v>3900000</v>
      </c>
      <c r="C12" s="111" t="inlineStr">
        <is>
          <t>VND / tháng</t>
        </is>
      </c>
      <c r="D12" s="164" t="inlineStr">
        <is>
          <t>Đề bài 2 — gói không giới hạn 3.900.000 đồng/tháng để so sánh.</t>
        </is>
      </c>
    </row>
    <row r="14" ht="46.5" customHeight="1" s="112">
      <c r="A14" s="125" t="inlineStr">
        <is>
          <t>Nhóm khách</t>
        </is>
      </c>
      <c r="B14" s="166" t="inlineStr">
        <is>
          <t>Tỷ trọng số khách (2 dòng cộng = 100%)</t>
        </is>
      </c>
      <c r="C14" s="166" t="inlineStr">
        <is>
          <t>Số việc / 1 khách / tháng</t>
        </is>
      </c>
      <c r="D14" s="125" t="inlineStr">
        <is>
          <t>Doanh thu / khách (gói kết hợp)</t>
        </is>
      </c>
      <c r="E14" s="166" t="inlineStr">
        <is>
          <t>Chi phí AI / khách (= số việc × chi phí mỗi việc)</t>
        </is>
      </c>
      <c r="F14" s="125" t="inlineStr">
        <is>
          <t>Biên lợi nhuận gộp (kết hợp)</t>
        </is>
      </c>
      <c r="G14" s="125" t="inlineStr">
        <is>
          <t>Doanh thu / khách (không giới hạn)</t>
        </is>
      </c>
      <c r="H14" s="125" t="inlineStr">
        <is>
          <t>Biên lợi nhuận gộp (không giới hạn)</t>
        </is>
      </c>
      <c r="I14" s="125" t="inlineStr">
        <is>
          <t>Nguồn / lý do</t>
        </is>
      </c>
    </row>
    <row r="15" ht="15" customHeight="1" s="112">
      <c r="A15" s="158" t="inlineStr">
        <is>
          <t>Khách thường</t>
        </is>
      </c>
      <c r="B15" s="167" t="n">
        <v>0.75</v>
      </c>
      <c r="C15" s="168" t="n">
        <v>500</v>
      </c>
      <c r="D15" s="159">
        <f>B9+MAX(0,C15-B10)*B11</f>
        <v/>
      </c>
      <c r="E15" s="159">
        <f>C15*'1_Chi phí mỗi việc'!B24</f>
        <v/>
      </c>
      <c r="F15" s="161">
        <f>IFERROR((D15-E15)/D15,0)</f>
        <v/>
      </c>
      <c r="G15" s="159">
        <f>B12</f>
        <v/>
      </c>
      <c r="H15" s="161">
        <f>IFERROR((G15-E15)/G15,0)</f>
        <v/>
      </c>
      <c r="I15" s="164" t="inlineStr">
        <is>
          <t>Đề bài 2 — khách thường: 75% số trung tâm, 500 bài/tháng.</t>
        </is>
      </c>
    </row>
    <row r="16" ht="15" customHeight="1" s="112">
      <c r="A16" s="158" t="inlineStr">
        <is>
          <t>Khách dùng nhiều</t>
        </is>
      </c>
      <c r="B16" s="167" t="n">
        <v>0.25</v>
      </c>
      <c r="C16" s="168" t="n">
        <v>2500</v>
      </c>
      <c r="D16" s="159">
        <f>B9+MAX(0,C16-B10)*B11</f>
        <v/>
      </c>
      <c r="E16" s="159">
        <f>C16*'1_Chi phí mỗi việc'!B24</f>
        <v/>
      </c>
      <c r="F16" s="161">
        <f>IFERROR((D16-E16)/D16,0)</f>
        <v/>
      </c>
      <c r="G16" s="159">
        <f>B12</f>
        <v/>
      </c>
      <c r="H16" s="161">
        <f>IFERROR((G16-E16)/G16,0)</f>
        <v/>
      </c>
      <c r="I16" s="164" t="inlineStr">
        <is>
          <t>Đề bài 2 — khách dùng nhiều: 25% số trung tâm, 2.500 bài/tháng.</t>
        </is>
      </c>
    </row>
    <row r="17" ht="15" customHeight="1" s="112">
      <c r="A17" s="116" t="inlineStr">
        <is>
          <t>BÌNH QUÂN (theo tỷ trọng)</t>
        </is>
      </c>
      <c r="B17" s="161">
        <f>B15+B16</f>
        <v/>
      </c>
      <c r="C17" s="169">
        <f>SUMPRODUCT(B15:B16,C15:C16)</f>
        <v/>
      </c>
      <c r="D17" s="160">
        <f>SUMPRODUCT($B15:$B16,D15:D16)</f>
        <v/>
      </c>
      <c r="E17" s="160">
        <f>SUMPRODUCT($B15:$B16,E15:E16)</f>
        <v/>
      </c>
      <c r="F17" s="170">
        <f>IFERROR((D17-E17)/D17,0)</f>
        <v/>
      </c>
      <c r="G17" s="160">
        <f>SUMPRODUCT($B15:$B16,G15:G16)</f>
        <v/>
      </c>
      <c r="H17" s="170">
        <f>IFERROR((G17-E17)/G17,0)</f>
        <v/>
      </c>
    </row>
    <row r="18" ht="15" customHeight="1" s="112">
      <c r="A18" s="111" t="inlineStr">
        <is>
          <t>Kiểm tra: tổng tỷ trọng phải = 100%</t>
        </is>
      </c>
      <c r="B18" s="171">
        <f>IF(B17=0,"Chưa điền",IF(ABS(B17-1)&lt;0.001,"Đạt","Sai: tổng khác 100%"))</f>
        <v/>
      </c>
    </row>
    <row r="19" ht="15" customHeight="1" s="112">
      <c r="A19" s="111" t="inlineStr">
        <is>
          <t>Kiểm tra: giá mỗi việc vượt hạn mức ≥ giá sàn mỗi việc (trang 1, dòng 26)?</t>
        </is>
      </c>
      <c r="B19" s="171">
        <f>IF(B11=0,"Chưa điền",IF(B11&gt;='1_Chi phí mỗi việc'!B26,"Đạt","Thấp hơn giá sàn"))</f>
        <v/>
      </c>
    </row>
    <row r="21" ht="15" customHeight="1" s="112">
      <c r="A21" s="111" t="inlineStr">
        <is>
          <t>Tỷ trọng doanh thu đến từ khách dùng nhiều</t>
        </is>
      </c>
      <c r="B21" s="170">
        <f>IFERROR(B16*D16/D17,0)</f>
        <v/>
      </c>
    </row>
    <row r="22" ht="15" customHeight="1" s="112">
      <c r="A22" s="111" t="inlineStr">
        <is>
          <t>Trong đó: phí vượt hạn mức</t>
        </is>
      </c>
      <c r="B22" s="170">
        <f>IFERROR(B16*MAX(0,C16-B10)*B11/D17,0)</f>
        <v/>
      </c>
    </row>
    <row r="23" ht="15" customHeight="1" s="112">
      <c r="A23" s="111" t="inlineStr">
        <is>
          <t>Cảnh báo phụ thuộc</t>
        </is>
      </c>
      <c r="B23" s="171">
        <f>IF(D17=0,"Chưa điền",IF(B21&gt;0.5,"Trên 50% doanh thu đến từ khách dùng nhiều: xem tình huống đặc biệt ở trang 5","Đạt"))</f>
        <v/>
      </c>
    </row>
    <row r="25" ht="15" customHeight="1" s="112">
      <c r="A25" s="116" t="inlineStr">
        <is>
          <t>PHÉP THỬ GIÁ: dùng chính quy tắc của Ngày 22 và chỉ số của Ngày 23</t>
        </is>
      </c>
    </row>
    <row r="26" ht="15" customHeight="1" s="112">
      <c r="A26" s="132" t="inlineStr">
        <is>
          <t>Lương 1 tháng của người được thay</t>
        </is>
      </c>
      <c r="B26" s="133" t="n">
        <v>25000000</v>
      </c>
      <c r="C26" s="132" t="inlineStr">
        <is>
          <t>VND / tháng</t>
        </is>
      </c>
      <c r="D26" s="149" t="inlineStr">
        <is>
          <t>Đề bài 2 — lương giáo viên chấm bài một trung tâm: 25.000.000 đồng/tháng.</t>
        </is>
      </c>
    </row>
    <row r="27" ht="15" customHeight="1" s="112">
      <c r="A27" s="132" t="inlineStr">
        <is>
          <t>Tỷ lệ chia doanh thu cho đối tác / kênh bán</t>
        </is>
      </c>
      <c r="B27" s="172" t="n">
        <v>0.2</v>
      </c>
      <c r="C27" s="132" t="inlineStr">
        <is>
          <t>% doanh thu</t>
        </is>
      </c>
      <c r="D27" s="149" t="inlineStr">
        <is>
          <t>Bán trực tiếp nên 0%. Bán qua đối tác thì nhập tỷ lệ chia</t>
        </is>
      </c>
    </row>
    <row r="28" ht="45" customHeight="1" s="112">
      <c r="A28" s="125" t="inlineStr">
        <is>
          <t>Nhóm khách</t>
        </is>
      </c>
      <c r="B28" s="125" t="inlineStr">
        <is>
          <t>Trả mỗi tháng</t>
        </is>
      </c>
      <c r="C28" s="125" t="inlineStr">
        <is>
          <t>So với lương người được thay</t>
        </is>
      </c>
      <c r="D28" s="125" t="inlineStr">
        <is>
          <t>Quy tắc neo 50–70% lương (Ngày 22)</t>
        </is>
      </c>
      <c r="E28" s="125" t="inlineStr">
        <is>
          <t>Tiền AI ÷ doanh thu (chỉ số Ngày 23)</t>
        </is>
      </c>
      <c r="F28" s="125" t="inlineStr">
        <is>
          <t>Mức theo Ngày 23</t>
        </is>
      </c>
    </row>
    <row r="29" ht="30" customHeight="1" s="112">
      <c r="A29" s="132" t="inlineStr">
        <is>
          <t>Khách thường</t>
        </is>
      </c>
      <c r="B29" s="134">
        <f>D15</f>
        <v/>
      </c>
      <c r="C29" s="138">
        <f>IFERROR(B29/$B$26,"")</f>
        <v/>
      </c>
      <c r="D29" s="173">
        <f>IF(C29="","",IF(C29&lt;0.5,"Dưới 50%: còn dư địa",IF(C29&lt;=0.7,"Trong vùng 50–70%","Trên 70%: khách thà thuê người? Xem dòng 34")))</f>
        <v/>
      </c>
      <c r="E29" s="174">
        <f>IFERROR(E15/B29,"")</f>
        <v/>
      </c>
      <c r="F29" s="137">
        <f>IF(E29="","",IF(E29&lt;0.3,"Ổn (dưới 0,3)",IF(E29&lt;=0.6,"Đáng lo (0,3–0,6)","Nguy (trên 0,6)")))</f>
        <v/>
      </c>
    </row>
    <row r="30" ht="30" customHeight="1" s="112">
      <c r="A30" s="132" t="inlineStr">
        <is>
          <t>Khách dùng nhiều, gói kết hợp</t>
        </is>
      </c>
      <c r="B30" s="134">
        <f>D16</f>
        <v/>
      </c>
      <c r="C30" s="138">
        <f>IFERROR(B30/$B$26,"")</f>
        <v/>
      </c>
      <c r="D30" s="173">
        <f>IF(C30="","",IF(C30&lt;0.5,"Dưới 50%: còn dư địa",IF(C30&lt;=0.7,"Trong vùng 50–70%","Trên 70%: khách thà thuê người? Xem dòng 34")))</f>
        <v/>
      </c>
      <c r="E30" s="174">
        <f>IFERROR(E16/B30,"")</f>
        <v/>
      </c>
      <c r="F30" s="137">
        <f>IF(E30="","",IF(E30&lt;0.3,"Ổn (dưới 0,3)",IF(E30&lt;=0.6,"Đáng lo (0,3–0,6)","Nguy (trên 0,6)")))</f>
        <v/>
      </c>
    </row>
    <row r="31" ht="30" customHeight="1" s="112">
      <c r="A31" s="132" t="inlineStr">
        <is>
          <t>Khách dùng nhiều, nếu bán gói không giới hạn</t>
        </is>
      </c>
      <c r="B31" s="134">
        <f>G16</f>
        <v/>
      </c>
      <c r="C31" s="138">
        <f>IFERROR(B31/$B$26,"")</f>
        <v/>
      </c>
      <c r="D31" s="173">
        <f>IF(C31="","",IF(C31&lt;0.5,"Dưới 50%: còn dư địa",IF(C31&lt;=0.7,"Trong vùng 50–70%","Trên 70%: khách thà thuê người? Xem dòng 34")))</f>
        <v/>
      </c>
      <c r="E31" s="174">
        <f>IFERROR(E16/B31,"")</f>
        <v/>
      </c>
      <c r="F31" s="137">
        <f>IF(E31="","",IF(E31&lt;0.3,"Ổn (dưới 0,3)",IF(E31&lt;=0.6,"Đáng lo (0,3–0,6)","Nguy (trên 0,6)")))</f>
        <v/>
      </c>
    </row>
    <row r="32" ht="15" customHeight="1" s="112">
      <c r="A32" s="135" t="inlineStr">
        <is>
          <t>Biên lợi nhuận gộp bình quân sau khi chia cho đối tác</t>
        </is>
      </c>
      <c r="B32" s="175">
        <f>IFERROR((D17*(1-B27)-E17)/D17,"")</f>
        <v/>
      </c>
      <c r="C32" s="137">
        <f>IF(B32="","",IF(B32&gt;0.5,"Ổn",IF(B32&gt;=0.35,"Đáng lo","Nguy")))</f>
        <v/>
      </c>
      <c r="D32" s="162" t="inlineStr">
        <is>
          <t>Ngày 23: trên 50% ổn · 35–50% đáng lo · dưới 35% nguy</t>
        </is>
      </c>
    </row>
    <row r="33" ht="30" customHeight="1" s="112">
      <c r="A33" s="124"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12">
      <c r="A34" s="124"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12">
      <c r="A35" s="116" t="inlineStr">
        <is>
          <t>CÁCH NHẬP DÒNG 9–12 THEO CÁCH TÍNH TIỀN ĐÃ CHỌN Ở DÒNG 6</t>
        </is>
      </c>
    </row>
    <row r="36" ht="15" customHeight="1" s="112">
      <c r="A36" s="132" t="inlineStr">
        <is>
          <t>Theo lượt dùng</t>
        </is>
      </c>
      <c r="B36" s="124" t="inlineStr">
        <is>
          <t>Dòng 9 = 0 · dòng 10 = 0 · dòng 11 = giá mỗi việc</t>
        </is>
      </c>
    </row>
    <row r="37" ht="30" customHeight="1" s="112">
      <c r="A37" s="132" t="inlineStr">
        <is>
          <t>Theo người dùng (tài khoản)</t>
        </is>
      </c>
      <c r="B37" s="124" t="inlineStr">
        <is>
          <t>Dòng 9 = giá mỗi tài khoản × số tài khoản của 1 khách · dòng 10 = mức dùng hợp lý · dòng 11 = phí vượt (không thu thì để trống, bỏ qua dòng 19, xem rủi ro ở dòng 31)</t>
        </is>
      </c>
    </row>
    <row r="38" ht="15" customHeight="1" s="112">
      <c r="A38" s="132" t="inlineStr">
        <is>
          <t>Theo kết quả</t>
        </is>
      </c>
      <c r="B38" s="124" t="inlineStr">
        <is>
          <t>Dòng 9 = 0 · dòng 10 = 0 · dòng 11 = giá mỗi kết quả × tỷ lệ việc ra kết quả</t>
        </is>
      </c>
    </row>
    <row r="39" ht="15" customHeight="1" s="112">
      <c r="A39" s="132" t="inlineStr">
        <is>
          <t>Kết hợp (bản mẫu)</t>
        </is>
      </c>
      <c r="B39" s="124" t="inlineStr">
        <is>
          <t>Dòng 9 = 499.000 · dòng 10 = 300 việc · dòng 11 = 1.500 đồng mỗi việc</t>
        </is>
      </c>
    </row>
    <row r="40" ht="15" customHeight="1" s="112">
      <c r="A40" s="132" t="inlineStr">
        <is>
          <t>Dòng 12</t>
        </is>
      </c>
      <c r="B40" s="124"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errorStyle="stop" operator="between">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errorStyle="stop" operator="between">
      <formula1>0</formula1>
      <formula2>0.9</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18" customWidth="1" style="111" min="2" max="4"/>
    <col width="14" customWidth="1" style="111" min="5" max="5"/>
    <col width="50" customWidth="1" style="111" min="6" max="6"/>
    <col width="56" customWidth="1" style="111" min="7" max="7"/>
  </cols>
  <sheetData>
    <row r="1" ht="17.25" customHeight="1" s="112">
      <c r="A1" s="113" t="inlineStr">
        <is>
          <t>3 · Giả định cho 3 kịch bản</t>
        </is>
      </c>
    </row>
    <row r="2" ht="15" customHeight="1" s="112">
      <c r="A2" s="120"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31.5" customHeight="1" s="112">
      <c r="A5" s="176" t="inlineStr">
        <is>
          <t>Hệ số doanh thu bình quân so với trang 2 (1 = giữ nguyên · 1,1 = cao hơn 10% · 0,8 = thấp hơn 20%)</t>
        </is>
      </c>
      <c r="B5" s="177" t="n">
        <v>1.1</v>
      </c>
      <c r="C5" s="177" t="n">
        <v>1</v>
      </c>
      <c r="D5" s="177" t="n">
        <v>0.8</v>
      </c>
      <c r="E5" s="153" t="inlineStr">
        <is>
          <t>×</t>
        </is>
      </c>
      <c r="F5" s="178" t="inlineStr">
        <is>
          <t>Cơ sở = 1. Lạc quan, xấu: mặc định 1,1 và 0,8; sửa nếu có lý do</t>
        </is>
      </c>
      <c r="G5" s="155" t="inlineStr">
        <is>
          <t>Bản mẫu: 1,1 / 1 / 0,8. Xấu: bị ép giảm giá; lạc quan: bán được gói cao hơn.</t>
        </is>
      </c>
    </row>
    <row r="6" ht="31.5" customHeight="1" s="112">
      <c r="A6" s="176" t="inlineStr">
        <is>
          <t>Hệ số chi phí AI / khách so với trang 2 (gõ như dòng 5)</t>
        </is>
      </c>
      <c r="B6" s="177" t="n">
        <v>0.9</v>
      </c>
      <c r="C6" s="177" t="n">
        <v>1</v>
      </c>
      <c r="D6" s="177" t="n">
        <v>1.2</v>
      </c>
      <c r="E6" s="153" t="inlineStr">
        <is>
          <t>×</t>
        </is>
      </c>
      <c r="F6" s="178" t="n"/>
      <c r="G6" s="155" t="inlineStr">
        <is>
          <t>Bản mẫu: 0,9 / 1 / 1,2. Giá gọi AI hoặc cách khách dùng thay đổi.</t>
        </is>
      </c>
    </row>
    <row r="7" ht="31.5" customHeight="1" s="112">
      <c r="A7" s="176" t="inlineStr">
        <is>
          <t>Khách mới tháng 1 (số khách ký được trong tháng đầu bán)</t>
        </is>
      </c>
      <c r="B7" s="179">
        <f>C7*1.3</f>
        <v/>
      </c>
      <c r="C7" s="179" t="n">
        <v>10</v>
      </c>
      <c r="D7" s="179">
        <f>C7*0.5</f>
        <v/>
      </c>
      <c r="E7" s="153" t="inlineStr">
        <is>
          <t>khách</t>
        </is>
      </c>
      <c r="F7" s="178" t="inlineStr">
        <is>
          <t>Đề bài 2 — 10 trung tâm mới trong tháng đầu.</t>
        </is>
      </c>
      <c r="G7" s="155" t="inlineStr">
        <is>
          <t>Cơ sở: số khách đội bán hàng ký được thật trong tháng đầu. Mặc định: lạc quan = cơ sở × 1,3; xấu = cơ sở × 0,5. (Bản mẫu tự đặt 40 / 30 / 15.)</t>
        </is>
      </c>
    </row>
    <row r="8" ht="46.5" customHeight="1" s="112">
      <c r="A8" s="176" t="inlineStr">
        <is>
          <t>Tăng trưởng khách mới / tháng (tính kép: 5%/tháng → tháng 24 gấp khoảng 3 lần tháng 1; 20%/tháng → gấp khoảng 66 lần)</t>
        </is>
      </c>
      <c r="B8" s="157">
        <f>C8*1.6</f>
        <v/>
      </c>
      <c r="C8" s="157" t="n">
        <v>0.05</v>
      </c>
      <c r="D8" s="157">
        <f>C8*0.4</f>
        <v/>
      </c>
      <c r="E8" s="153" t="inlineStr">
        <is>
          <t>%</t>
        </is>
      </c>
      <c r="F8" s="178" t="inlineStr">
        <is>
          <t>Giả định đề bài: tăng trưởng khách mới 5%/tháng; cần đo qua thử nghiệm.</t>
        </is>
      </c>
      <c r="G8" s="155" t="inlineStr">
        <is>
          <t>Mặc định: lạc quan × 1,6, xấu × 0,4. Bản mẫu: 8% / 5% / 2%. Trên 10% mỗi tháng cần lý do rất chắc.</t>
        </is>
      </c>
    </row>
    <row r="9" ht="43.5" customHeight="1" s="112">
      <c r="A9" s="176" t="inlineStr">
        <is>
          <t>Tỷ lệ rời bỏ / tháng</t>
        </is>
      </c>
      <c r="B9" s="157">
        <f>C9*0.6</f>
        <v/>
      </c>
      <c r="C9" s="157" t="n">
        <v>0.045</v>
      </c>
      <c r="D9" s="157">
        <f>C9*1.6</f>
        <v/>
      </c>
      <c r="E9" s="153" t="inlineStr">
        <is>
          <t>%</t>
        </is>
      </c>
      <c r="F9" s="178" t="inlineStr">
        <is>
          <t>Đề bài 2 — churn 4,5%/tháng; trung tâm nhỏ có thể đóng cửa/nghỉ hè.</t>
        </is>
      </c>
      <c r="G9" s="155" t="inlineStr">
        <is>
          <t>Chưa có số đo: lấy từ phỏng vấn hoặc thử nghiệm, ghi "Giả định". Xấu phải ≥ 1,5 × cơ sở. Mặc định: lạc quan × 0,6, xấu × 1,6. Bản mẫu: 3% / 5% / 8%.</t>
        </is>
      </c>
    </row>
    <row r="10" ht="31.5" customHeight="1" s="112">
      <c r="A10" s="176" t="inlineStr">
        <is>
          <t>Chi phí có một khách (CAC) = tiền quảng cáo và bán hàng 1 tháng ÷ số khách mới tháng đó</t>
        </is>
      </c>
      <c r="B10" s="180">
        <f>C10*0.8</f>
        <v/>
      </c>
      <c r="C10" s="180" t="n">
        <v>7000000</v>
      </c>
      <c r="D10" s="180">
        <f>C10*1.5</f>
        <v/>
      </c>
      <c r="E10" s="153" t="inlineStr">
        <is>
          <t>VND / khách</t>
        </is>
      </c>
      <c r="F10" s="178" t="inlineStr">
        <is>
          <t>Đề bài 2 — CAC 7.000.000 đồng/trung tâm: đào tạo, triển khai, tiếp thị chung.</t>
        </is>
      </c>
      <c r="G10" s="155" t="inlineStr">
        <is>
          <t>Xấu phải ≥ 1,5 × cơ sở. Mặc định: lạc quan × 0,8, xấu × 1,5. (Bản mẫu tự đặt 1,2 / 1,5 / 2,3 triệu đồng.)</t>
        </is>
      </c>
    </row>
    <row r="11" ht="46.5" customHeight="1" s="112">
      <c r="A11" s="176" t="inlineStr">
        <is>
          <t>Chi phí cố định / tháng (lương đội, văn phòng, hạ tầng trả cố định)</t>
        </is>
      </c>
      <c r="B11" s="180">
        <f>C11</f>
        <v/>
      </c>
      <c r="C11" s="180" t="n">
        <v>160000000</v>
      </c>
      <c r="D11" s="180">
        <f>C11</f>
        <v/>
      </c>
      <c r="E11" s="153" t="inlineStr">
        <is>
          <t>VND / tháng</t>
        </is>
      </c>
      <c r="F11" s="178" t="inlineStr">
        <is>
          <t>Đề bài 2 — 160.000.000 đồng/tháng cho đội 5 người và văn phòng.</t>
        </is>
      </c>
      <c r="G11" s="124" t="inlineStr">
        <is>
          <t>Gõ đủ số đồng. Gồm lương đội phát triển (đã tách khỏi trang 1) và chi phí kiểm thử lại mỗi khi đổi mô hình hoặc câu lệnh. Bản mẫu: 150 triệu.</t>
        </is>
      </c>
    </row>
    <row r="12" ht="76.5" customHeight="1" s="112">
      <c r="A12" s="122" t="inlineStr">
        <is>
          <t>Chi phí xây dựng ban đầu, gồm chi phí thử sai (chi một lần ở tháng 0)</t>
        </is>
      </c>
      <c r="B12" s="180">
        <f>C12</f>
        <v/>
      </c>
      <c r="C12" s="180" t="n">
        <v>600000000</v>
      </c>
      <c r="D12" s="180">
        <f>C12</f>
        <v/>
      </c>
      <c r="E12" s="153" t="inlineStr">
        <is>
          <t>VND</t>
        </is>
      </c>
      <c r="F12" s="178" t="inlineStr">
        <is>
          <t>Đề bài 2 — 600.000.000 đồng đầu tư: 480 triệu đội/văn phòng 3 tháng + 120 triệu chấm mẫu, token, kiểm thử.</t>
        </is>
      </c>
      <c r="G12" s="124"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12">
      <c r="A13" s="176" t="inlineStr">
        <is>
          <t>Tiền mặt hoặc ngân sách đã duyệt (trước khi chi xây dựng)</t>
        </is>
      </c>
      <c r="B13" s="180">
        <f>C13</f>
        <v/>
      </c>
      <c r="C13" s="180" t="n">
        <v>3000000000</v>
      </c>
      <c r="D13" s="180">
        <f>C13</f>
        <v/>
      </c>
      <c r="E13" s="153" t="inlineStr">
        <is>
          <t>VND</t>
        </is>
      </c>
      <c r="F13" s="178" t="inlineStr">
        <is>
          <t>Đề bài 2 — 3.000.000.000 đồng tiền mặt trước khi chi xây dựng.</t>
        </is>
      </c>
      <c r="G13" s="155" t="inlineStr">
        <is>
          <t>Gõ đủ số đồng. Dự án trong công ty: ghi ngân sách đã duyệt. Để trống thì mọi kịch bản hết tiền ngay tháng 1. Bản mẫu: 2 tỷ.</t>
        </is>
      </c>
    </row>
    <row r="14" ht="15.75" customHeight="1" s="112">
      <c r="A14" s="151" t="inlineStr">
        <is>
          <t>Lãi suất chiết khấu / năm</t>
        </is>
      </c>
      <c r="B14" s="157" t="n">
        <v>0.15</v>
      </c>
      <c r="C14" s="157" t="n">
        <v>0.15</v>
      </c>
      <c r="D14" s="157" t="n">
        <v>0.15</v>
      </c>
      <c r="E14" s="153" t="inlineStr">
        <is>
          <t>%</t>
        </is>
      </c>
      <c r="F14" s="181" t="inlineStr">
        <is>
          <t>Giả định của lớp: chi phí vốn cho dự án rủi ro cao</t>
        </is>
      </c>
      <c r="G14" s="155" t="inlineStr">
        <is>
          <t>Giữ 15% nếu không có lý do khác.</t>
        </is>
      </c>
    </row>
    <row r="16" ht="15" customHeight="1" s="112">
      <c r="A16" s="116" t="inlineStr">
        <is>
          <t>Giá trị tính ra</t>
        </is>
      </c>
    </row>
    <row r="17" ht="15" customHeight="1" s="112">
      <c r="A17" s="158" t="inlineStr">
        <is>
          <t>Doanh thu bình quân / khách / tháng</t>
        </is>
      </c>
      <c r="B17" s="159">
        <f>'2_Định giá'!D17*B5*(1-'2_Định giá'!$B$27)</f>
        <v/>
      </c>
      <c r="C17" s="159">
        <f>'2_Định giá'!D17*C5*(1-'2_Định giá'!$B$27)</f>
        <v/>
      </c>
      <c r="D17" s="159">
        <f>'2_Định giá'!D17*D5*(1-'2_Định giá'!$B$27)</f>
        <v/>
      </c>
    </row>
    <row r="18" ht="15" customHeight="1" s="112">
      <c r="A18" s="158" t="inlineStr">
        <is>
          <t>Chi phí AI (giá vốn) / khách / tháng</t>
        </is>
      </c>
      <c r="B18" s="159">
        <f>'2_Định giá'!E17*B6</f>
        <v/>
      </c>
      <c r="C18" s="159">
        <f>'2_Định giá'!E17*C6</f>
        <v/>
      </c>
      <c r="D18" s="159">
        <f>'2_Định giá'!E17*D6</f>
        <v/>
      </c>
    </row>
    <row r="19" ht="15" customHeight="1" s="112">
      <c r="A19" s="162" t="inlineStr">
        <is>
          <t>Doanh thu bình quân đã trừ phần chia cho đối tác (trang 2, dòng 27).</t>
        </is>
      </c>
    </row>
    <row r="20" ht="15" customHeight="1" s="112">
      <c r="A20" s="116" t="inlineStr">
        <is>
          <t>Kiểm tra kịch bản xấu</t>
        </is>
      </c>
    </row>
    <row r="21" ht="15" customHeight="1" s="112">
      <c r="A21" s="111" t="inlineStr">
        <is>
          <t>Tỷ lệ rời bỏ (xấu) ≥ 1,5 × cơ sở?</t>
        </is>
      </c>
      <c r="B21" s="171">
        <f>IF(C9=0,"Chưa điền",IF(D9&gt;=1.5*C9,"Đạt","Chưa đủ sốc"))</f>
        <v/>
      </c>
    </row>
    <row r="22" ht="15" customHeight="1" s="112">
      <c r="A22" s="111" t="inlineStr">
        <is>
          <t>Chi phí có một khách (xấu) ≥ 1,5 × cơ sở?</t>
        </is>
      </c>
      <c r="B22" s="171">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1" min="1" max="1"/>
    <col width="18" customWidth="1" style="111" min="2" max="4"/>
    <col width="20" customWidth="1" style="111" min="5" max="5"/>
  </cols>
  <sheetData>
    <row r="1" ht="17.25" customHeight="1" s="112">
      <c r="A1" s="113" t="inlineStr">
        <is>
          <t>4 · Chỉ số trên mỗi khách: có lãi trên từng khách không?</t>
        </is>
      </c>
    </row>
    <row r="2" ht="15" customHeight="1" s="112">
      <c r="A2" s="120" t="inlineStr">
        <is>
          <t>Giá trị vòng đời (LTV) tính trên lợi nhuận gộp, KHÔNG tính trên doanh thu.</t>
        </is>
      </c>
    </row>
    <row r="4" ht="15" customHeight="1" s="112">
      <c r="A4" s="125" t="inlineStr">
        <is>
          <t>Chỉ số</t>
        </is>
      </c>
      <c r="B4" s="125" t="inlineStr">
        <is>
          <t>Lạc quan</t>
        </is>
      </c>
      <c r="C4" s="125" t="inlineStr">
        <is>
          <t>Cơ sở</t>
        </is>
      </c>
      <c r="D4" s="125" t="inlineStr">
        <is>
          <t>Xấu</t>
        </is>
      </c>
      <c r="E4" s="125" t="inlineStr">
        <is>
          <t>Ngưỡng tham khảo</t>
        </is>
      </c>
    </row>
    <row r="5" ht="15" customHeight="1" s="112">
      <c r="A5" s="158" t="inlineStr">
        <is>
          <t>Doanh thu bình quân / khách / tháng</t>
        </is>
      </c>
      <c r="B5" s="159">
        <f>'3_Giả định'!B17</f>
        <v/>
      </c>
      <c r="C5" s="159">
        <f>'3_Giả định'!C17</f>
        <v/>
      </c>
      <c r="D5" s="159">
        <f>'3_Giả định'!D17</f>
        <v/>
      </c>
    </row>
    <row r="6" ht="15" customHeight="1" s="112">
      <c r="A6" s="158" t="inlineStr">
        <is>
          <t>Lợi nhuận gộp / khách / tháng</t>
        </is>
      </c>
      <c r="B6" s="159">
        <f>'3_Giả định'!B17-'3_Giả định'!B18</f>
        <v/>
      </c>
      <c r="C6" s="159">
        <f>'3_Giả định'!C17-'3_Giả định'!C18</f>
        <v/>
      </c>
      <c r="D6" s="159">
        <f>'3_Giả định'!D17-'3_Giả định'!D18</f>
        <v/>
      </c>
    </row>
    <row r="7" ht="15" customHeight="1" s="112">
      <c r="A7" s="158" t="inlineStr">
        <is>
          <t>Biên lợi nhuận gộp</t>
        </is>
      </c>
      <c r="B7" s="161">
        <f>IFERROR(B6/B5,0)</f>
        <v/>
      </c>
      <c r="C7" s="161">
        <f>IFERROR(C6/C5,0)</f>
        <v/>
      </c>
      <c r="D7" s="161">
        <f>IFERROR(D6/D5,0)</f>
        <v/>
      </c>
      <c r="E7" s="111" t="inlineStr">
        <is>
          <t>≥ 60%</t>
        </is>
      </c>
    </row>
    <row r="8" ht="15" customHeight="1" s="112">
      <c r="A8" s="158" t="inlineStr">
        <is>
          <t>Số tháng khách ở lại = 1 ÷ tỷ lệ rời bỏ</t>
        </is>
      </c>
      <c r="B8" s="182">
        <f>IFERROR(1/'3_Giả định'!B9,0)</f>
        <v/>
      </c>
      <c r="C8" s="182">
        <f>IFERROR(1/'3_Giả định'!C9,0)</f>
        <v/>
      </c>
      <c r="D8" s="182">
        <f>IFERROR(1/'3_Giả định'!D9,0)</f>
        <v/>
      </c>
    </row>
    <row r="9" ht="15" customHeight="1" s="112">
      <c r="A9" s="158" t="inlineStr">
        <is>
          <t>Giá trị vòng đời (LTV) = lợi nhuận gộp × số tháng ở lại</t>
        </is>
      </c>
      <c r="B9" s="159">
        <f>B6*B8</f>
        <v/>
      </c>
      <c r="C9" s="159">
        <f>C6*C8</f>
        <v/>
      </c>
      <c r="D9" s="159">
        <f>D6*D8</f>
        <v/>
      </c>
    </row>
    <row r="10" ht="15" customHeight="1" s="112">
      <c r="A10" s="158" t="inlineStr">
        <is>
          <t>Chi phí có một khách (CAC)</t>
        </is>
      </c>
      <c r="B10" s="159">
        <f>'3_Giả định'!B10</f>
        <v/>
      </c>
      <c r="C10" s="159">
        <f>'3_Giả định'!C10</f>
        <v/>
      </c>
      <c r="D10" s="159">
        <f>'3_Giả định'!D10</f>
        <v/>
      </c>
    </row>
    <row r="11" ht="15" customHeight="1" s="112">
      <c r="A11" s="158" t="inlineStr">
        <is>
          <t>LTV ÷ CAC (lần)</t>
        </is>
      </c>
      <c r="B11" s="183">
        <f>IFERROR(B9/B10,0)</f>
        <v/>
      </c>
      <c r="C11" s="183">
        <f>IFERROR(C9/C10,0)</f>
        <v/>
      </c>
      <c r="D11" s="183">
        <f>IFERROR(D9/D10,0)</f>
        <v/>
      </c>
      <c r="E11" s="115" t="inlineStr">
        <is>
          <t>&gt; 3 (Ngày 23); mô hình của bạn: trang 5, dòng 74</t>
        </is>
      </c>
    </row>
    <row r="12" ht="15" customHeight="1" s="112">
      <c r="A12" s="158" t="inlineStr">
        <is>
          <t>Thời gian hoàn vốn chi phí có khách (tháng)</t>
        </is>
      </c>
      <c r="B12" s="182">
        <f>IFERROR(B10/B6,0)</f>
        <v/>
      </c>
      <c r="C12" s="182">
        <f>IFERROR(C10/C6,0)</f>
        <v/>
      </c>
      <c r="D12" s="182">
        <f>IFERROR(D10/D6,0)</f>
        <v/>
      </c>
      <c r="E12" s="111" t="inlineStr">
        <is>
          <t>&lt; 12 tháng</t>
        </is>
      </c>
    </row>
    <row r="13" ht="15" customHeight="1" s="112">
      <c r="A13" s="158" t="inlineStr">
        <is>
          <t>Đánh giá</t>
        </is>
      </c>
      <c r="B13" s="184">
        <f>IF(B5&lt;=0,"Chưa điền trang 2–3",IF(B6&lt;=0,"Lỗ trên từng khách",IF(AND(B11&gt;3,B12&lt;12,B7&gt;=0.6),"Khỏe",IF(B11&gt;=1,"Cần cải thiện","Đốt tiền"))))</f>
        <v/>
      </c>
      <c r="C13" s="184">
        <f>IF(C5&lt;=0,"Chưa điền trang 2–3",IF(C6&lt;=0,"Lỗ trên từng khách",IF(AND(C11&gt;3,C12&lt;12,C7&gt;=0.6),"Khỏe",IF(C11&gt;=1,"Cần cải thiện","Đốt tiền"))))</f>
        <v/>
      </c>
      <c r="D13" s="184">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4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1"/>
  <cols>
    <col width="38" customWidth="1" style="111" min="1" max="1"/>
    <col width="18" customWidth="1" style="111" min="2" max="26"/>
  </cols>
  <sheetData>
    <row r="1" ht="17.25" customHeight="1" s="112">
      <c r="A1" s="113" t="inlineStr">
        <is>
          <t>5 · Dòng tiền 24 tháng và hiệu quả đầu tư (3 kịch bản)</t>
        </is>
      </c>
    </row>
    <row r="2" ht="15" customHeight="1" s="112">
      <c r="A2" s="120"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12">
      <c r="A4" s="125" t="inlineStr">
        <is>
          <t>Kịch bản / dòng</t>
        </is>
      </c>
      <c r="B4" s="125" t="inlineStr">
        <is>
          <t>Tháng 0</t>
        </is>
      </c>
      <c r="C4" s="125" t="inlineStr">
        <is>
          <t>T1</t>
        </is>
      </c>
      <c r="D4" s="125" t="inlineStr">
        <is>
          <t>T2</t>
        </is>
      </c>
      <c r="E4" s="125" t="inlineStr">
        <is>
          <t>T3</t>
        </is>
      </c>
      <c r="F4" s="125" t="inlineStr">
        <is>
          <t>T4</t>
        </is>
      </c>
      <c r="G4" s="125" t="inlineStr">
        <is>
          <t>T5</t>
        </is>
      </c>
      <c r="H4" s="125" t="inlineStr">
        <is>
          <t>T6</t>
        </is>
      </c>
      <c r="I4" s="125" t="inlineStr">
        <is>
          <t>T7</t>
        </is>
      </c>
      <c r="J4" s="125" t="inlineStr">
        <is>
          <t>T8</t>
        </is>
      </c>
      <c r="K4" s="125" t="inlineStr">
        <is>
          <t>T9</t>
        </is>
      </c>
      <c r="L4" s="125" t="inlineStr">
        <is>
          <t>T10</t>
        </is>
      </c>
      <c r="M4" s="125" t="inlineStr">
        <is>
          <t>T11</t>
        </is>
      </c>
      <c r="N4" s="125" t="inlineStr">
        <is>
          <t>T12</t>
        </is>
      </c>
      <c r="O4" s="125" t="inlineStr">
        <is>
          <t>T13</t>
        </is>
      </c>
      <c r="P4" s="125" t="inlineStr">
        <is>
          <t>T14</t>
        </is>
      </c>
      <c r="Q4" s="125" t="inlineStr">
        <is>
          <t>T15</t>
        </is>
      </c>
      <c r="R4" s="125" t="inlineStr">
        <is>
          <t>T16</t>
        </is>
      </c>
      <c r="S4" s="125" t="inlineStr">
        <is>
          <t>T17</t>
        </is>
      </c>
      <c r="T4" s="125" t="inlineStr">
        <is>
          <t>T18</t>
        </is>
      </c>
      <c r="U4" s="125" t="inlineStr">
        <is>
          <t>T19</t>
        </is>
      </c>
      <c r="V4" s="125" t="inlineStr">
        <is>
          <t>T20</t>
        </is>
      </c>
      <c r="W4" s="125" t="inlineStr">
        <is>
          <t>T21</t>
        </is>
      </c>
      <c r="X4" s="125" t="inlineStr">
        <is>
          <t>T22</t>
        </is>
      </c>
      <c r="Y4" s="125" t="inlineStr">
        <is>
          <t>T23</t>
        </is>
      </c>
      <c r="Z4" s="125" t="inlineStr">
        <is>
          <t>T24</t>
        </is>
      </c>
    </row>
    <row r="5" ht="15" customHeight="1" s="112">
      <c r="A5" s="185" t="inlineStr">
        <is>
          <t>LẠC QUAN</t>
        </is>
      </c>
    </row>
    <row r="6" ht="15" customHeight="1" s="112">
      <c r="A6" s="158" t="inlineStr">
        <is>
          <t>Khách mới</t>
        </is>
      </c>
      <c r="C6" s="186">
        <f>'3_Giả định'!$B$7*(1+'3_Giả định'!$B$8)^0</f>
        <v/>
      </c>
      <c r="D6" s="186">
        <f>'3_Giả định'!$B$7*(1+'3_Giả định'!$B$8)^1</f>
        <v/>
      </c>
      <c r="E6" s="186">
        <f>'3_Giả định'!$B$7*(1+'3_Giả định'!$B$8)^2</f>
        <v/>
      </c>
      <c r="F6" s="186">
        <f>'3_Giả định'!$B$7*(1+'3_Giả định'!$B$8)^3</f>
        <v/>
      </c>
      <c r="G6" s="186">
        <f>'3_Giả định'!$B$7*(1+'3_Giả định'!$B$8)^4</f>
        <v/>
      </c>
      <c r="H6" s="186">
        <f>'3_Giả định'!$B$7*(1+'3_Giả định'!$B$8)^5</f>
        <v/>
      </c>
      <c r="I6" s="186">
        <f>'3_Giả định'!$B$7*(1+'3_Giả định'!$B$8)^6</f>
        <v/>
      </c>
      <c r="J6" s="186">
        <f>'3_Giả định'!$B$7*(1+'3_Giả định'!$B$8)^7</f>
        <v/>
      </c>
      <c r="K6" s="186">
        <f>'3_Giả định'!$B$7*(1+'3_Giả định'!$B$8)^8</f>
        <v/>
      </c>
      <c r="L6" s="186">
        <f>'3_Giả định'!$B$7*(1+'3_Giả định'!$B$8)^9</f>
        <v/>
      </c>
      <c r="M6" s="186">
        <f>'3_Giả định'!$B$7*(1+'3_Giả định'!$B$8)^10</f>
        <v/>
      </c>
      <c r="N6" s="186">
        <f>'3_Giả định'!$B$7*(1+'3_Giả định'!$B$8)^11</f>
        <v/>
      </c>
      <c r="O6" s="186">
        <f>'3_Giả định'!$B$7*(1+'3_Giả định'!$B$8)^12</f>
        <v/>
      </c>
      <c r="P6" s="186">
        <f>'3_Giả định'!$B$7*(1+'3_Giả định'!$B$8)^13</f>
        <v/>
      </c>
      <c r="Q6" s="186">
        <f>'3_Giả định'!$B$7*(1+'3_Giả định'!$B$8)^14</f>
        <v/>
      </c>
      <c r="R6" s="186">
        <f>'3_Giả định'!$B$7*(1+'3_Giả định'!$B$8)^15</f>
        <v/>
      </c>
      <c r="S6" s="186">
        <f>'3_Giả định'!$B$7*(1+'3_Giả định'!$B$8)^16</f>
        <v/>
      </c>
      <c r="T6" s="186">
        <f>'3_Giả định'!$B$7*(1+'3_Giả định'!$B$8)^17</f>
        <v/>
      </c>
      <c r="U6" s="186">
        <f>'3_Giả định'!$B$7*(1+'3_Giả định'!$B$8)^18</f>
        <v/>
      </c>
      <c r="V6" s="186">
        <f>'3_Giả định'!$B$7*(1+'3_Giả định'!$B$8)^19</f>
        <v/>
      </c>
      <c r="W6" s="186">
        <f>'3_Giả định'!$B$7*(1+'3_Giả định'!$B$8)^20</f>
        <v/>
      </c>
      <c r="X6" s="186">
        <f>'3_Giả định'!$B$7*(1+'3_Giả định'!$B$8)^21</f>
        <v/>
      </c>
      <c r="Y6" s="186">
        <f>'3_Giả định'!$B$7*(1+'3_Giả định'!$B$8)^22</f>
        <v/>
      </c>
      <c r="Z6" s="186">
        <f>'3_Giả định'!$B$7*(1+'3_Giả định'!$B$8)^23</f>
        <v/>
      </c>
    </row>
    <row r="7" ht="15" customHeight="1" s="112">
      <c r="A7" s="158" t="inlineStr">
        <is>
          <t>Khách đang dùng</t>
        </is>
      </c>
      <c r="B7" s="111" t="n">
        <v>0</v>
      </c>
      <c r="C7" s="186">
        <f>B7*(1-'3_Giả định'!$B$9)+C6</f>
        <v/>
      </c>
      <c r="D7" s="186">
        <f>C7*(1-'3_Giả định'!$B$9)+D6</f>
        <v/>
      </c>
      <c r="E7" s="186">
        <f>D7*(1-'3_Giả định'!$B$9)+E6</f>
        <v/>
      </c>
      <c r="F7" s="186">
        <f>E7*(1-'3_Giả định'!$B$9)+F6</f>
        <v/>
      </c>
      <c r="G7" s="186">
        <f>F7*(1-'3_Giả định'!$B$9)+G6</f>
        <v/>
      </c>
      <c r="H7" s="186">
        <f>G7*(1-'3_Giả định'!$B$9)+H6</f>
        <v/>
      </c>
      <c r="I7" s="186">
        <f>H7*(1-'3_Giả định'!$B$9)+I6</f>
        <v/>
      </c>
      <c r="J7" s="186">
        <f>I7*(1-'3_Giả định'!$B$9)+J6</f>
        <v/>
      </c>
      <c r="K7" s="186">
        <f>J7*(1-'3_Giả định'!$B$9)+K6</f>
        <v/>
      </c>
      <c r="L7" s="186">
        <f>K7*(1-'3_Giả định'!$B$9)+L6</f>
        <v/>
      </c>
      <c r="M7" s="186">
        <f>L7*(1-'3_Giả định'!$B$9)+M6</f>
        <v/>
      </c>
      <c r="N7" s="186">
        <f>M7*(1-'3_Giả định'!$B$9)+N6</f>
        <v/>
      </c>
      <c r="O7" s="186">
        <f>N7*(1-'3_Giả định'!$B$9)+O6</f>
        <v/>
      </c>
      <c r="P7" s="186">
        <f>O7*(1-'3_Giả định'!$B$9)+P6</f>
        <v/>
      </c>
      <c r="Q7" s="186">
        <f>P7*(1-'3_Giả định'!$B$9)+Q6</f>
        <v/>
      </c>
      <c r="R7" s="186">
        <f>Q7*(1-'3_Giả định'!$B$9)+R6</f>
        <v/>
      </c>
      <c r="S7" s="186">
        <f>R7*(1-'3_Giả định'!$B$9)+S6</f>
        <v/>
      </c>
      <c r="T7" s="186">
        <f>S7*(1-'3_Giả định'!$B$9)+T6</f>
        <v/>
      </c>
      <c r="U7" s="186">
        <f>T7*(1-'3_Giả định'!$B$9)+U6</f>
        <v/>
      </c>
      <c r="V7" s="186">
        <f>U7*(1-'3_Giả định'!$B$9)+V6</f>
        <v/>
      </c>
      <c r="W7" s="186">
        <f>V7*(1-'3_Giả định'!$B$9)+W6</f>
        <v/>
      </c>
      <c r="X7" s="186">
        <f>W7*(1-'3_Giả định'!$B$9)+X6</f>
        <v/>
      </c>
      <c r="Y7" s="186">
        <f>X7*(1-'3_Giả định'!$B$9)+Y6</f>
        <v/>
      </c>
      <c r="Z7" s="186">
        <f>Y7*(1-'3_Giả định'!$B$9)+Z6</f>
        <v/>
      </c>
    </row>
    <row r="8" ht="15" customHeight="1" s="112">
      <c r="A8" s="158" t="inlineStr">
        <is>
          <t>Doanh thu</t>
        </is>
      </c>
      <c r="C8" s="187">
        <f>C7*'3_Giả định'!$B$17</f>
        <v/>
      </c>
      <c r="D8" s="187">
        <f>D7*'3_Giả định'!$B$17</f>
        <v/>
      </c>
      <c r="E8" s="187">
        <f>E7*'3_Giả định'!$B$17</f>
        <v/>
      </c>
      <c r="F8" s="187">
        <f>F7*'3_Giả định'!$B$17</f>
        <v/>
      </c>
      <c r="G8" s="187">
        <f>G7*'3_Giả định'!$B$17</f>
        <v/>
      </c>
      <c r="H8" s="187">
        <f>H7*'3_Giả định'!$B$17</f>
        <v/>
      </c>
      <c r="I8" s="187">
        <f>I7*'3_Giả định'!$B$17</f>
        <v/>
      </c>
      <c r="J8" s="187">
        <f>J7*'3_Giả định'!$B$17</f>
        <v/>
      </c>
      <c r="K8" s="187">
        <f>K7*'3_Giả định'!$B$17</f>
        <v/>
      </c>
      <c r="L8" s="187">
        <f>L7*'3_Giả định'!$B$17</f>
        <v/>
      </c>
      <c r="M8" s="187">
        <f>M7*'3_Giả định'!$B$17</f>
        <v/>
      </c>
      <c r="N8" s="187">
        <f>N7*'3_Giả định'!$B$17</f>
        <v/>
      </c>
      <c r="O8" s="187">
        <f>O7*'3_Giả định'!$B$17</f>
        <v/>
      </c>
      <c r="P8" s="187">
        <f>P7*'3_Giả định'!$B$17</f>
        <v/>
      </c>
      <c r="Q8" s="187">
        <f>Q7*'3_Giả định'!$B$17</f>
        <v/>
      </c>
      <c r="R8" s="187">
        <f>R7*'3_Giả định'!$B$17</f>
        <v/>
      </c>
      <c r="S8" s="187">
        <f>S7*'3_Giả định'!$B$17</f>
        <v/>
      </c>
      <c r="T8" s="187">
        <f>T7*'3_Giả định'!$B$17</f>
        <v/>
      </c>
      <c r="U8" s="187">
        <f>U7*'3_Giả định'!$B$17</f>
        <v/>
      </c>
      <c r="V8" s="187">
        <f>V7*'3_Giả định'!$B$17</f>
        <v/>
      </c>
      <c r="W8" s="187">
        <f>W7*'3_Giả định'!$B$17</f>
        <v/>
      </c>
      <c r="X8" s="187">
        <f>X7*'3_Giả định'!$B$17</f>
        <v/>
      </c>
      <c r="Y8" s="187">
        <f>Y7*'3_Giả định'!$B$17</f>
        <v/>
      </c>
      <c r="Z8" s="187">
        <f>Z7*'3_Giả định'!$B$17</f>
        <v/>
      </c>
    </row>
    <row r="9" ht="15" customHeight="1" s="112">
      <c r="A9" s="158" t="inlineStr">
        <is>
          <t>Chi phí AI (giá vốn)</t>
        </is>
      </c>
      <c r="C9" s="187">
        <f>C7*'3_Giả định'!$B$18</f>
        <v/>
      </c>
      <c r="D9" s="187">
        <f>D7*'3_Giả định'!$B$18</f>
        <v/>
      </c>
      <c r="E9" s="187">
        <f>E7*'3_Giả định'!$B$18</f>
        <v/>
      </c>
      <c r="F9" s="187">
        <f>F7*'3_Giả định'!$B$18</f>
        <v/>
      </c>
      <c r="G9" s="187">
        <f>G7*'3_Giả định'!$B$18</f>
        <v/>
      </c>
      <c r="H9" s="187">
        <f>H7*'3_Giả định'!$B$18</f>
        <v/>
      </c>
      <c r="I9" s="187">
        <f>I7*'3_Giả định'!$B$18</f>
        <v/>
      </c>
      <c r="J9" s="187">
        <f>J7*'3_Giả định'!$B$18</f>
        <v/>
      </c>
      <c r="K9" s="187">
        <f>K7*'3_Giả định'!$B$18</f>
        <v/>
      </c>
      <c r="L9" s="187">
        <f>L7*'3_Giả định'!$B$18</f>
        <v/>
      </c>
      <c r="M9" s="187">
        <f>M7*'3_Giả định'!$B$18</f>
        <v/>
      </c>
      <c r="N9" s="187">
        <f>N7*'3_Giả định'!$B$18</f>
        <v/>
      </c>
      <c r="O9" s="187">
        <f>O7*'3_Giả định'!$B$18</f>
        <v/>
      </c>
      <c r="P9" s="187">
        <f>P7*'3_Giả định'!$B$18</f>
        <v/>
      </c>
      <c r="Q9" s="187">
        <f>Q7*'3_Giả định'!$B$18</f>
        <v/>
      </c>
      <c r="R9" s="187">
        <f>R7*'3_Giả định'!$B$18</f>
        <v/>
      </c>
      <c r="S9" s="187">
        <f>S7*'3_Giả định'!$B$18</f>
        <v/>
      </c>
      <c r="T9" s="187">
        <f>T7*'3_Giả định'!$B$18</f>
        <v/>
      </c>
      <c r="U9" s="187">
        <f>U7*'3_Giả định'!$B$18</f>
        <v/>
      </c>
      <c r="V9" s="187">
        <f>V7*'3_Giả định'!$B$18</f>
        <v/>
      </c>
      <c r="W9" s="187">
        <f>W7*'3_Giả định'!$B$18</f>
        <v/>
      </c>
      <c r="X9" s="187">
        <f>X7*'3_Giả định'!$B$18</f>
        <v/>
      </c>
      <c r="Y9" s="187">
        <f>Y7*'3_Giả định'!$B$18</f>
        <v/>
      </c>
      <c r="Z9" s="187">
        <f>Z7*'3_Giả định'!$B$18</f>
        <v/>
      </c>
    </row>
    <row r="10" ht="15" customHeight="1" s="112">
      <c r="A10" s="158" t="inlineStr">
        <is>
          <t>Lợi nhuận gộp</t>
        </is>
      </c>
      <c r="C10" s="187">
        <f>C8-C9</f>
        <v/>
      </c>
      <c r="D10" s="187">
        <f>D8-D9</f>
        <v/>
      </c>
      <c r="E10" s="187">
        <f>E8-E9</f>
        <v/>
      </c>
      <c r="F10" s="187">
        <f>F8-F9</f>
        <v/>
      </c>
      <c r="G10" s="187">
        <f>G8-G9</f>
        <v/>
      </c>
      <c r="H10" s="187">
        <f>H8-H9</f>
        <v/>
      </c>
      <c r="I10" s="187">
        <f>I8-I9</f>
        <v/>
      </c>
      <c r="J10" s="187">
        <f>J8-J9</f>
        <v/>
      </c>
      <c r="K10" s="187">
        <f>K8-K9</f>
        <v/>
      </c>
      <c r="L10" s="187">
        <f>L8-L9</f>
        <v/>
      </c>
      <c r="M10" s="187">
        <f>M8-M9</f>
        <v/>
      </c>
      <c r="N10" s="187">
        <f>N8-N9</f>
        <v/>
      </c>
      <c r="O10" s="187">
        <f>O8-O9</f>
        <v/>
      </c>
      <c r="P10" s="187">
        <f>P8-P9</f>
        <v/>
      </c>
      <c r="Q10" s="187">
        <f>Q8-Q9</f>
        <v/>
      </c>
      <c r="R10" s="187">
        <f>R8-R9</f>
        <v/>
      </c>
      <c r="S10" s="187">
        <f>S8-S9</f>
        <v/>
      </c>
      <c r="T10" s="187">
        <f>T8-T9</f>
        <v/>
      </c>
      <c r="U10" s="187">
        <f>U8-U9</f>
        <v/>
      </c>
      <c r="V10" s="187">
        <f>V8-V9</f>
        <v/>
      </c>
      <c r="W10" s="187">
        <f>W8-W9</f>
        <v/>
      </c>
      <c r="X10" s="187">
        <f>X8-X9</f>
        <v/>
      </c>
      <c r="Y10" s="187">
        <f>Y8-Y9</f>
        <v/>
      </c>
      <c r="Z10" s="187">
        <f>Z8-Z9</f>
        <v/>
      </c>
    </row>
    <row r="11" ht="15" customHeight="1" s="112">
      <c r="A11" s="158" t="inlineStr">
        <is>
          <t>Chi phí bán hàng (chi phí có khách × khách mới)</t>
        </is>
      </c>
      <c r="C11" s="187">
        <f>C6*'3_Giả định'!$B$10</f>
        <v/>
      </c>
      <c r="D11" s="187">
        <f>D6*'3_Giả định'!$B$10</f>
        <v/>
      </c>
      <c r="E11" s="187">
        <f>E6*'3_Giả định'!$B$10</f>
        <v/>
      </c>
      <c r="F11" s="187">
        <f>F6*'3_Giả định'!$B$10</f>
        <v/>
      </c>
      <c r="G11" s="187">
        <f>G6*'3_Giả định'!$B$10</f>
        <v/>
      </c>
      <c r="H11" s="187">
        <f>H6*'3_Giả định'!$B$10</f>
        <v/>
      </c>
      <c r="I11" s="187">
        <f>I6*'3_Giả định'!$B$10</f>
        <v/>
      </c>
      <c r="J11" s="187">
        <f>J6*'3_Giả định'!$B$10</f>
        <v/>
      </c>
      <c r="K11" s="187">
        <f>K6*'3_Giả định'!$B$10</f>
        <v/>
      </c>
      <c r="L11" s="187">
        <f>L6*'3_Giả định'!$B$10</f>
        <v/>
      </c>
      <c r="M11" s="187">
        <f>M6*'3_Giả định'!$B$10</f>
        <v/>
      </c>
      <c r="N11" s="187">
        <f>N6*'3_Giả định'!$B$10</f>
        <v/>
      </c>
      <c r="O11" s="187">
        <f>O6*'3_Giả định'!$B$10</f>
        <v/>
      </c>
      <c r="P11" s="187">
        <f>P6*'3_Giả định'!$B$10</f>
        <v/>
      </c>
      <c r="Q11" s="187">
        <f>Q6*'3_Giả định'!$B$10</f>
        <v/>
      </c>
      <c r="R11" s="187">
        <f>R6*'3_Giả định'!$B$10</f>
        <v/>
      </c>
      <c r="S11" s="187">
        <f>S6*'3_Giả định'!$B$10</f>
        <v/>
      </c>
      <c r="T11" s="187">
        <f>T6*'3_Giả định'!$B$10</f>
        <v/>
      </c>
      <c r="U11" s="187">
        <f>U6*'3_Giả định'!$B$10</f>
        <v/>
      </c>
      <c r="V11" s="187">
        <f>V6*'3_Giả định'!$B$10</f>
        <v/>
      </c>
      <c r="W11" s="187">
        <f>W6*'3_Giả định'!$B$10</f>
        <v/>
      </c>
      <c r="X11" s="187">
        <f>X6*'3_Giả định'!$B$10</f>
        <v/>
      </c>
      <c r="Y11" s="187">
        <f>Y6*'3_Giả định'!$B$10</f>
        <v/>
      </c>
      <c r="Z11" s="187">
        <f>Z6*'3_Giả định'!$B$10</f>
        <v/>
      </c>
    </row>
    <row r="12" ht="15" customHeight="1" s="112">
      <c r="A12" s="158" t="inlineStr">
        <is>
          <t>Chi phí cố định</t>
        </is>
      </c>
      <c r="C12" s="187">
        <f>'3_Giả định'!$B$11</f>
        <v/>
      </c>
      <c r="D12" s="187">
        <f>'3_Giả định'!$B$11</f>
        <v/>
      </c>
      <c r="E12" s="187">
        <f>'3_Giả định'!$B$11</f>
        <v/>
      </c>
      <c r="F12" s="187">
        <f>'3_Giả định'!$B$11</f>
        <v/>
      </c>
      <c r="G12" s="187">
        <f>'3_Giả định'!$B$11</f>
        <v/>
      </c>
      <c r="H12" s="187">
        <f>'3_Giả định'!$B$11</f>
        <v/>
      </c>
      <c r="I12" s="187">
        <f>'3_Giả định'!$B$11</f>
        <v/>
      </c>
      <c r="J12" s="187">
        <f>'3_Giả định'!$B$11</f>
        <v/>
      </c>
      <c r="K12" s="187">
        <f>'3_Giả định'!$B$11</f>
        <v/>
      </c>
      <c r="L12" s="187">
        <f>'3_Giả định'!$B$11</f>
        <v/>
      </c>
      <c r="M12" s="187">
        <f>'3_Giả định'!$B$11</f>
        <v/>
      </c>
      <c r="N12" s="187">
        <f>'3_Giả định'!$B$11</f>
        <v/>
      </c>
      <c r="O12" s="187">
        <f>'3_Giả định'!$B$11</f>
        <v/>
      </c>
      <c r="P12" s="187">
        <f>'3_Giả định'!$B$11</f>
        <v/>
      </c>
      <c r="Q12" s="187">
        <f>'3_Giả định'!$B$11</f>
        <v/>
      </c>
      <c r="R12" s="187">
        <f>'3_Giả định'!$B$11</f>
        <v/>
      </c>
      <c r="S12" s="187">
        <f>'3_Giả định'!$B$11</f>
        <v/>
      </c>
      <c r="T12" s="187">
        <f>'3_Giả định'!$B$11</f>
        <v/>
      </c>
      <c r="U12" s="187">
        <f>'3_Giả định'!$B$11</f>
        <v/>
      </c>
      <c r="V12" s="187">
        <f>'3_Giả định'!$B$11</f>
        <v/>
      </c>
      <c r="W12" s="187">
        <f>'3_Giả định'!$B$11</f>
        <v/>
      </c>
      <c r="X12" s="187">
        <f>'3_Giả định'!$B$11</f>
        <v/>
      </c>
      <c r="Y12" s="187">
        <f>'3_Giả định'!$B$11</f>
        <v/>
      </c>
      <c r="Z12" s="187">
        <f>'3_Giả định'!$B$11</f>
        <v/>
      </c>
    </row>
    <row r="13" ht="15" customHeight="1" s="112">
      <c r="A13" s="158" t="inlineStr">
        <is>
          <t>Dòng tiền ròng</t>
        </is>
      </c>
      <c r="B13" s="187">
        <f>-'3_Giả định'!$B$12</f>
        <v/>
      </c>
      <c r="C13" s="187">
        <f>C10-C11-C12</f>
        <v/>
      </c>
      <c r="D13" s="187">
        <f>D10-D11-D12</f>
        <v/>
      </c>
      <c r="E13" s="187">
        <f>E10-E11-E12</f>
        <v/>
      </c>
      <c r="F13" s="187">
        <f>F10-F11-F12</f>
        <v/>
      </c>
      <c r="G13" s="187">
        <f>G10-G11-G12</f>
        <v/>
      </c>
      <c r="H13" s="187">
        <f>H10-H11-H12</f>
        <v/>
      </c>
      <c r="I13" s="187">
        <f>I10-I11-I12</f>
        <v/>
      </c>
      <c r="J13" s="187">
        <f>J10-J11-J12</f>
        <v/>
      </c>
      <c r="K13" s="187">
        <f>K10-K11-K12</f>
        <v/>
      </c>
      <c r="L13" s="187">
        <f>L10-L11-L12</f>
        <v/>
      </c>
      <c r="M13" s="187">
        <f>M10-M11-M12</f>
        <v/>
      </c>
      <c r="N13" s="187">
        <f>N10-N11-N12</f>
        <v/>
      </c>
      <c r="O13" s="187">
        <f>O10-O11-O12</f>
        <v/>
      </c>
      <c r="P13" s="187">
        <f>P10-P11-P12</f>
        <v/>
      </c>
      <c r="Q13" s="187">
        <f>Q10-Q11-Q12</f>
        <v/>
      </c>
      <c r="R13" s="187">
        <f>R10-R11-R12</f>
        <v/>
      </c>
      <c r="S13" s="187">
        <f>S10-S11-S12</f>
        <v/>
      </c>
      <c r="T13" s="187">
        <f>T10-T11-T12</f>
        <v/>
      </c>
      <c r="U13" s="187">
        <f>U10-U11-U12</f>
        <v/>
      </c>
      <c r="V13" s="187">
        <f>V10-V11-V12</f>
        <v/>
      </c>
      <c r="W13" s="187">
        <f>W10-W11-W12</f>
        <v/>
      </c>
      <c r="X13" s="187">
        <f>X10-X11-X12</f>
        <v/>
      </c>
      <c r="Y13" s="187">
        <f>Y10-Y11-Y12</f>
        <v/>
      </c>
      <c r="Z13" s="187">
        <f>Z10-Z11-Z12</f>
        <v/>
      </c>
    </row>
    <row r="14" ht="15" customHeight="1" s="112">
      <c r="A14" s="158" t="inlineStr">
        <is>
          <t>Tiền mặt cuối kỳ</t>
        </is>
      </c>
      <c r="B14" s="187">
        <f>'3_Giả định'!$B$13+B13</f>
        <v/>
      </c>
      <c r="C14" s="187">
        <f>B14+C13</f>
        <v/>
      </c>
      <c r="D14" s="187">
        <f>C14+D13</f>
        <v/>
      </c>
      <c r="E14" s="187">
        <f>D14+E13</f>
        <v/>
      </c>
      <c r="F14" s="187">
        <f>E14+F13</f>
        <v/>
      </c>
      <c r="G14" s="187">
        <f>F14+G13</f>
        <v/>
      </c>
      <c r="H14" s="187">
        <f>G14+H13</f>
        <v/>
      </c>
      <c r="I14" s="187">
        <f>H14+I13</f>
        <v/>
      </c>
      <c r="J14" s="187">
        <f>I14+J13</f>
        <v/>
      </c>
      <c r="K14" s="187">
        <f>J14+K13</f>
        <v/>
      </c>
      <c r="L14" s="187">
        <f>K14+L13</f>
        <v/>
      </c>
      <c r="M14" s="187">
        <f>L14+M13</f>
        <v/>
      </c>
      <c r="N14" s="187">
        <f>M14+N13</f>
        <v/>
      </c>
      <c r="O14" s="187">
        <f>N14+O13</f>
        <v/>
      </c>
      <c r="P14" s="187">
        <f>O14+P13</f>
        <v/>
      </c>
      <c r="Q14" s="187">
        <f>P14+Q13</f>
        <v/>
      </c>
      <c r="R14" s="187">
        <f>Q14+R13</f>
        <v/>
      </c>
      <c r="S14" s="187">
        <f>R14+S13</f>
        <v/>
      </c>
      <c r="T14" s="187">
        <f>S14+T13</f>
        <v/>
      </c>
      <c r="U14" s="187">
        <f>T14+U13</f>
        <v/>
      </c>
      <c r="V14" s="187">
        <f>U14+V13</f>
        <v/>
      </c>
      <c r="W14" s="187">
        <f>V14+W13</f>
        <v/>
      </c>
      <c r="X14" s="187">
        <f>W14+X13</f>
        <v/>
      </c>
      <c r="Y14" s="187">
        <f>X14+Y13</f>
        <v/>
      </c>
      <c r="Z14" s="187">
        <f>Y14+Z13</f>
        <v/>
      </c>
    </row>
    <row r="15" ht="15" customHeight="1" s="112">
      <c r="A15" s="158" t="inlineStr">
        <is>
          <t>Dòng tiền lũy kế của dự án</t>
        </is>
      </c>
      <c r="B15" s="187">
        <f>B13</f>
        <v/>
      </c>
      <c r="C15" s="187">
        <f>B15+C13</f>
        <v/>
      </c>
      <c r="D15" s="187">
        <f>C15+D13</f>
        <v/>
      </c>
      <c r="E15" s="187">
        <f>D15+E13</f>
        <v/>
      </c>
      <c r="F15" s="187">
        <f>E15+F13</f>
        <v/>
      </c>
      <c r="G15" s="187">
        <f>F15+G13</f>
        <v/>
      </c>
      <c r="H15" s="187">
        <f>G15+H13</f>
        <v/>
      </c>
      <c r="I15" s="187">
        <f>H15+I13</f>
        <v/>
      </c>
      <c r="J15" s="187">
        <f>I15+J13</f>
        <v/>
      </c>
      <c r="K15" s="187">
        <f>J15+K13</f>
        <v/>
      </c>
      <c r="L15" s="187">
        <f>K15+L13</f>
        <v/>
      </c>
      <c r="M15" s="187">
        <f>L15+M13</f>
        <v/>
      </c>
      <c r="N15" s="187">
        <f>M15+N13</f>
        <v/>
      </c>
      <c r="O15" s="187">
        <f>N15+O13</f>
        <v/>
      </c>
      <c r="P15" s="187">
        <f>O15+P13</f>
        <v/>
      </c>
      <c r="Q15" s="187">
        <f>P15+Q13</f>
        <v/>
      </c>
      <c r="R15" s="187">
        <f>Q15+R13</f>
        <v/>
      </c>
      <c r="S15" s="187">
        <f>R15+S13</f>
        <v/>
      </c>
      <c r="T15" s="187">
        <f>S15+T13</f>
        <v/>
      </c>
      <c r="U15" s="187">
        <f>T15+U13</f>
        <v/>
      </c>
      <c r="V15" s="187">
        <f>U15+V13</f>
        <v/>
      </c>
      <c r="W15" s="187">
        <f>V15+W13</f>
        <v/>
      </c>
      <c r="X15" s="187">
        <f>W15+X13</f>
        <v/>
      </c>
      <c r="Y15" s="187">
        <f>X15+Y13</f>
        <v/>
      </c>
      <c r="Z15" s="187">
        <f>Y15+Z13</f>
        <v/>
      </c>
    </row>
    <row r="17" ht="15" customHeight="1" s="112">
      <c r="A17" s="185" t="inlineStr">
        <is>
          <t>CƠ SỞ</t>
        </is>
      </c>
    </row>
    <row r="18" ht="15" customHeight="1" s="112">
      <c r="A18" s="158" t="inlineStr">
        <is>
          <t>Khách mới</t>
        </is>
      </c>
      <c r="C18" s="186">
        <f>'3_Giả định'!$C$7*(1+'3_Giả định'!$C$8)^0</f>
        <v/>
      </c>
      <c r="D18" s="186">
        <f>'3_Giả định'!$C$7*(1+'3_Giả định'!$C$8)^1</f>
        <v/>
      </c>
      <c r="E18" s="186">
        <f>'3_Giả định'!$C$7*(1+'3_Giả định'!$C$8)^2</f>
        <v/>
      </c>
      <c r="F18" s="186">
        <f>'3_Giả định'!$C$7*(1+'3_Giả định'!$C$8)^3</f>
        <v/>
      </c>
      <c r="G18" s="186">
        <f>'3_Giả định'!$C$7*(1+'3_Giả định'!$C$8)^4</f>
        <v/>
      </c>
      <c r="H18" s="186">
        <f>'3_Giả định'!$C$7*(1+'3_Giả định'!$C$8)^5</f>
        <v/>
      </c>
      <c r="I18" s="186">
        <f>'3_Giả định'!$C$7*(1+'3_Giả định'!$C$8)^6</f>
        <v/>
      </c>
      <c r="J18" s="186">
        <f>'3_Giả định'!$C$7*(1+'3_Giả định'!$C$8)^7</f>
        <v/>
      </c>
      <c r="K18" s="186">
        <f>'3_Giả định'!$C$7*(1+'3_Giả định'!$C$8)^8</f>
        <v/>
      </c>
      <c r="L18" s="186">
        <f>'3_Giả định'!$C$7*(1+'3_Giả định'!$C$8)^9</f>
        <v/>
      </c>
      <c r="M18" s="186">
        <f>'3_Giả định'!$C$7*(1+'3_Giả định'!$C$8)^10</f>
        <v/>
      </c>
      <c r="N18" s="186">
        <f>'3_Giả định'!$C$7*(1+'3_Giả định'!$C$8)^11</f>
        <v/>
      </c>
      <c r="O18" s="186">
        <f>'3_Giả định'!$C$7*(1+'3_Giả định'!$C$8)^12</f>
        <v/>
      </c>
      <c r="P18" s="186">
        <f>'3_Giả định'!$C$7*(1+'3_Giả định'!$C$8)^13</f>
        <v/>
      </c>
      <c r="Q18" s="186">
        <f>'3_Giả định'!$C$7*(1+'3_Giả định'!$C$8)^14</f>
        <v/>
      </c>
      <c r="R18" s="186">
        <f>'3_Giả định'!$C$7*(1+'3_Giả định'!$C$8)^15</f>
        <v/>
      </c>
      <c r="S18" s="186">
        <f>'3_Giả định'!$C$7*(1+'3_Giả định'!$C$8)^16</f>
        <v/>
      </c>
      <c r="T18" s="186">
        <f>'3_Giả định'!$C$7*(1+'3_Giả định'!$C$8)^17</f>
        <v/>
      </c>
      <c r="U18" s="186">
        <f>'3_Giả định'!$C$7*(1+'3_Giả định'!$C$8)^18</f>
        <v/>
      </c>
      <c r="V18" s="186">
        <f>'3_Giả định'!$C$7*(1+'3_Giả định'!$C$8)^19</f>
        <v/>
      </c>
      <c r="W18" s="186">
        <f>'3_Giả định'!$C$7*(1+'3_Giả định'!$C$8)^20</f>
        <v/>
      </c>
      <c r="X18" s="186">
        <f>'3_Giả định'!$C$7*(1+'3_Giả định'!$C$8)^21</f>
        <v/>
      </c>
      <c r="Y18" s="186">
        <f>'3_Giả định'!$C$7*(1+'3_Giả định'!$C$8)^22</f>
        <v/>
      </c>
      <c r="Z18" s="186">
        <f>'3_Giả định'!$C$7*(1+'3_Giả định'!$C$8)^23</f>
        <v/>
      </c>
    </row>
    <row r="19" ht="15" customHeight="1" s="112">
      <c r="A19" s="158" t="inlineStr">
        <is>
          <t>Khách đang dùng</t>
        </is>
      </c>
      <c r="B19" s="111" t="n">
        <v>0</v>
      </c>
      <c r="C19" s="186">
        <f>B19*(1-'3_Giả định'!$C$9)+C18</f>
        <v/>
      </c>
      <c r="D19" s="186">
        <f>C19*(1-'3_Giả định'!$C$9)+D18</f>
        <v/>
      </c>
      <c r="E19" s="186">
        <f>D19*(1-'3_Giả định'!$C$9)+E18</f>
        <v/>
      </c>
      <c r="F19" s="186">
        <f>E19*(1-'3_Giả định'!$C$9)+F18</f>
        <v/>
      </c>
      <c r="G19" s="186">
        <f>F19*(1-'3_Giả định'!$C$9)+G18</f>
        <v/>
      </c>
      <c r="H19" s="186">
        <f>G19*(1-'3_Giả định'!$C$9)+H18</f>
        <v/>
      </c>
      <c r="I19" s="186">
        <f>H19*(1-'3_Giả định'!$C$9)+I18</f>
        <v/>
      </c>
      <c r="J19" s="186">
        <f>I19*(1-'3_Giả định'!$C$9)+J18</f>
        <v/>
      </c>
      <c r="K19" s="186">
        <f>J19*(1-'3_Giả định'!$C$9)+K18</f>
        <v/>
      </c>
      <c r="L19" s="186">
        <f>K19*(1-'3_Giả định'!$C$9)+L18</f>
        <v/>
      </c>
      <c r="M19" s="186">
        <f>L19*(1-'3_Giả định'!$C$9)+M18</f>
        <v/>
      </c>
      <c r="N19" s="186">
        <f>M19*(1-'3_Giả định'!$C$9)+N18</f>
        <v/>
      </c>
      <c r="O19" s="186">
        <f>N19*(1-'3_Giả định'!$C$9)+O18</f>
        <v/>
      </c>
      <c r="P19" s="186">
        <f>O19*(1-'3_Giả định'!$C$9)+P18</f>
        <v/>
      </c>
      <c r="Q19" s="186">
        <f>P19*(1-'3_Giả định'!$C$9)+Q18</f>
        <v/>
      </c>
      <c r="R19" s="186">
        <f>Q19*(1-'3_Giả định'!$C$9)+R18</f>
        <v/>
      </c>
      <c r="S19" s="186">
        <f>R19*(1-'3_Giả định'!$C$9)+S18</f>
        <v/>
      </c>
      <c r="T19" s="186">
        <f>S19*(1-'3_Giả định'!$C$9)+T18</f>
        <v/>
      </c>
      <c r="U19" s="186">
        <f>T19*(1-'3_Giả định'!$C$9)+U18</f>
        <v/>
      </c>
      <c r="V19" s="186">
        <f>U19*(1-'3_Giả định'!$C$9)+V18</f>
        <v/>
      </c>
      <c r="W19" s="186">
        <f>V19*(1-'3_Giả định'!$C$9)+W18</f>
        <v/>
      </c>
      <c r="X19" s="186">
        <f>W19*(1-'3_Giả định'!$C$9)+X18</f>
        <v/>
      </c>
      <c r="Y19" s="186">
        <f>X19*(1-'3_Giả định'!$C$9)+Y18</f>
        <v/>
      </c>
      <c r="Z19" s="186">
        <f>Y19*(1-'3_Giả định'!$C$9)+Z18</f>
        <v/>
      </c>
    </row>
    <row r="20" ht="15" customHeight="1" s="112">
      <c r="A20" s="158" t="inlineStr">
        <is>
          <t>Doanh thu</t>
        </is>
      </c>
      <c r="C20" s="187">
        <f>C19*'3_Giả định'!$C$17</f>
        <v/>
      </c>
      <c r="D20" s="187">
        <f>D19*'3_Giả định'!$C$17</f>
        <v/>
      </c>
      <c r="E20" s="187">
        <f>E19*'3_Giả định'!$C$17</f>
        <v/>
      </c>
      <c r="F20" s="187">
        <f>F19*'3_Giả định'!$C$17</f>
        <v/>
      </c>
      <c r="G20" s="187">
        <f>G19*'3_Giả định'!$C$17</f>
        <v/>
      </c>
      <c r="H20" s="187">
        <f>H19*'3_Giả định'!$C$17</f>
        <v/>
      </c>
      <c r="I20" s="187">
        <f>I19*'3_Giả định'!$C$17</f>
        <v/>
      </c>
      <c r="J20" s="187">
        <f>J19*'3_Giả định'!$C$17</f>
        <v/>
      </c>
      <c r="K20" s="187">
        <f>K19*'3_Giả định'!$C$17</f>
        <v/>
      </c>
      <c r="L20" s="187">
        <f>L19*'3_Giả định'!$C$17</f>
        <v/>
      </c>
      <c r="M20" s="187">
        <f>M19*'3_Giả định'!$C$17</f>
        <v/>
      </c>
      <c r="N20" s="187">
        <f>N19*'3_Giả định'!$C$17</f>
        <v/>
      </c>
      <c r="O20" s="187">
        <f>O19*'3_Giả định'!$C$17</f>
        <v/>
      </c>
      <c r="P20" s="187">
        <f>P19*'3_Giả định'!$C$17</f>
        <v/>
      </c>
      <c r="Q20" s="187">
        <f>Q19*'3_Giả định'!$C$17</f>
        <v/>
      </c>
      <c r="R20" s="187">
        <f>R19*'3_Giả định'!$C$17</f>
        <v/>
      </c>
      <c r="S20" s="187">
        <f>S19*'3_Giả định'!$C$17</f>
        <v/>
      </c>
      <c r="T20" s="187">
        <f>T19*'3_Giả định'!$C$17</f>
        <v/>
      </c>
      <c r="U20" s="187">
        <f>U19*'3_Giả định'!$C$17</f>
        <v/>
      </c>
      <c r="V20" s="187">
        <f>V19*'3_Giả định'!$C$17</f>
        <v/>
      </c>
      <c r="W20" s="187">
        <f>W19*'3_Giả định'!$C$17</f>
        <v/>
      </c>
      <c r="X20" s="187">
        <f>X19*'3_Giả định'!$C$17</f>
        <v/>
      </c>
      <c r="Y20" s="187">
        <f>Y19*'3_Giả định'!$C$17</f>
        <v/>
      </c>
      <c r="Z20" s="187">
        <f>Z19*'3_Giả định'!$C$17</f>
        <v/>
      </c>
    </row>
    <row r="21" ht="15" customHeight="1" s="112">
      <c r="A21" s="158" t="inlineStr">
        <is>
          <t>Chi phí AI (giá vốn)</t>
        </is>
      </c>
      <c r="C21" s="187">
        <f>C19*'3_Giả định'!$C$18</f>
        <v/>
      </c>
      <c r="D21" s="187">
        <f>D19*'3_Giả định'!$C$18</f>
        <v/>
      </c>
      <c r="E21" s="187">
        <f>E19*'3_Giả định'!$C$18</f>
        <v/>
      </c>
      <c r="F21" s="187">
        <f>F19*'3_Giả định'!$C$18</f>
        <v/>
      </c>
      <c r="G21" s="187">
        <f>G19*'3_Giả định'!$C$18</f>
        <v/>
      </c>
      <c r="H21" s="187">
        <f>H19*'3_Giả định'!$C$18</f>
        <v/>
      </c>
      <c r="I21" s="187">
        <f>I19*'3_Giả định'!$C$18</f>
        <v/>
      </c>
      <c r="J21" s="187">
        <f>J19*'3_Giả định'!$C$18</f>
        <v/>
      </c>
      <c r="K21" s="187">
        <f>K19*'3_Giả định'!$C$18</f>
        <v/>
      </c>
      <c r="L21" s="187">
        <f>L19*'3_Giả định'!$C$18</f>
        <v/>
      </c>
      <c r="M21" s="187">
        <f>M19*'3_Giả định'!$C$18</f>
        <v/>
      </c>
      <c r="N21" s="187">
        <f>N19*'3_Giả định'!$C$18</f>
        <v/>
      </c>
      <c r="O21" s="187">
        <f>O19*'3_Giả định'!$C$18</f>
        <v/>
      </c>
      <c r="P21" s="187">
        <f>P19*'3_Giả định'!$C$18</f>
        <v/>
      </c>
      <c r="Q21" s="187">
        <f>Q19*'3_Giả định'!$C$18</f>
        <v/>
      </c>
      <c r="R21" s="187">
        <f>R19*'3_Giả định'!$C$18</f>
        <v/>
      </c>
      <c r="S21" s="187">
        <f>S19*'3_Giả định'!$C$18</f>
        <v/>
      </c>
      <c r="T21" s="187">
        <f>T19*'3_Giả định'!$C$18</f>
        <v/>
      </c>
      <c r="U21" s="187">
        <f>U19*'3_Giả định'!$C$18</f>
        <v/>
      </c>
      <c r="V21" s="187">
        <f>V19*'3_Giả định'!$C$18</f>
        <v/>
      </c>
      <c r="W21" s="187">
        <f>W19*'3_Giả định'!$C$18</f>
        <v/>
      </c>
      <c r="X21" s="187">
        <f>X19*'3_Giả định'!$C$18</f>
        <v/>
      </c>
      <c r="Y21" s="187">
        <f>Y19*'3_Giả định'!$C$18</f>
        <v/>
      </c>
      <c r="Z21" s="187">
        <f>Z19*'3_Giả định'!$C$18</f>
        <v/>
      </c>
    </row>
    <row r="22" ht="15" customHeight="1" s="112">
      <c r="A22" s="158" t="inlineStr">
        <is>
          <t>Lợi nhuận gộp</t>
        </is>
      </c>
      <c r="C22" s="187">
        <f>C20-C21</f>
        <v/>
      </c>
      <c r="D22" s="187">
        <f>D20-D21</f>
        <v/>
      </c>
      <c r="E22" s="187">
        <f>E20-E21</f>
        <v/>
      </c>
      <c r="F22" s="187">
        <f>F20-F21</f>
        <v/>
      </c>
      <c r="G22" s="187">
        <f>G20-G21</f>
        <v/>
      </c>
      <c r="H22" s="187">
        <f>H20-H21</f>
        <v/>
      </c>
      <c r="I22" s="187">
        <f>I20-I21</f>
        <v/>
      </c>
      <c r="J22" s="187">
        <f>J20-J21</f>
        <v/>
      </c>
      <c r="K22" s="187">
        <f>K20-K21</f>
        <v/>
      </c>
      <c r="L22" s="187">
        <f>L20-L21</f>
        <v/>
      </c>
      <c r="M22" s="187">
        <f>M20-M21</f>
        <v/>
      </c>
      <c r="N22" s="187">
        <f>N20-N21</f>
        <v/>
      </c>
      <c r="O22" s="187">
        <f>O20-O21</f>
        <v/>
      </c>
      <c r="P22" s="187">
        <f>P20-P21</f>
        <v/>
      </c>
      <c r="Q22" s="187">
        <f>Q20-Q21</f>
        <v/>
      </c>
      <c r="R22" s="187">
        <f>R20-R21</f>
        <v/>
      </c>
      <c r="S22" s="187">
        <f>S20-S21</f>
        <v/>
      </c>
      <c r="T22" s="187">
        <f>T20-T21</f>
        <v/>
      </c>
      <c r="U22" s="187">
        <f>U20-U21</f>
        <v/>
      </c>
      <c r="V22" s="187">
        <f>V20-V21</f>
        <v/>
      </c>
      <c r="W22" s="187">
        <f>W20-W21</f>
        <v/>
      </c>
      <c r="X22" s="187">
        <f>X20-X21</f>
        <v/>
      </c>
      <c r="Y22" s="187">
        <f>Y20-Y21</f>
        <v/>
      </c>
      <c r="Z22" s="187">
        <f>Z20-Z21</f>
        <v/>
      </c>
    </row>
    <row r="23" ht="15" customHeight="1" s="112">
      <c r="A23" s="158" t="inlineStr">
        <is>
          <t>Chi phí bán hàng (chi phí có khách × khách mới)</t>
        </is>
      </c>
      <c r="C23" s="187">
        <f>C18*'3_Giả định'!$C$10</f>
        <v/>
      </c>
      <c r="D23" s="187">
        <f>D18*'3_Giả định'!$C$10</f>
        <v/>
      </c>
      <c r="E23" s="187">
        <f>E18*'3_Giả định'!$C$10</f>
        <v/>
      </c>
      <c r="F23" s="187">
        <f>F18*'3_Giả định'!$C$10</f>
        <v/>
      </c>
      <c r="G23" s="187">
        <f>G18*'3_Giả định'!$C$10</f>
        <v/>
      </c>
      <c r="H23" s="187">
        <f>H18*'3_Giả định'!$C$10</f>
        <v/>
      </c>
      <c r="I23" s="187">
        <f>I18*'3_Giả định'!$C$10</f>
        <v/>
      </c>
      <c r="J23" s="187">
        <f>J18*'3_Giả định'!$C$10</f>
        <v/>
      </c>
      <c r="K23" s="187">
        <f>K18*'3_Giả định'!$C$10</f>
        <v/>
      </c>
      <c r="L23" s="187">
        <f>L18*'3_Giả định'!$C$10</f>
        <v/>
      </c>
      <c r="M23" s="187">
        <f>M18*'3_Giả định'!$C$10</f>
        <v/>
      </c>
      <c r="N23" s="187">
        <f>N18*'3_Giả định'!$C$10</f>
        <v/>
      </c>
      <c r="O23" s="187">
        <f>O18*'3_Giả định'!$C$10</f>
        <v/>
      </c>
      <c r="P23" s="187">
        <f>P18*'3_Giả định'!$C$10</f>
        <v/>
      </c>
      <c r="Q23" s="187">
        <f>Q18*'3_Giả định'!$C$10</f>
        <v/>
      </c>
      <c r="R23" s="187">
        <f>R18*'3_Giả định'!$C$10</f>
        <v/>
      </c>
      <c r="S23" s="187">
        <f>S18*'3_Giả định'!$C$10</f>
        <v/>
      </c>
      <c r="T23" s="187">
        <f>T18*'3_Giả định'!$C$10</f>
        <v/>
      </c>
      <c r="U23" s="187">
        <f>U18*'3_Giả định'!$C$10</f>
        <v/>
      </c>
      <c r="V23" s="187">
        <f>V18*'3_Giả định'!$C$10</f>
        <v/>
      </c>
      <c r="W23" s="187">
        <f>W18*'3_Giả định'!$C$10</f>
        <v/>
      </c>
      <c r="X23" s="187">
        <f>X18*'3_Giả định'!$C$10</f>
        <v/>
      </c>
      <c r="Y23" s="187">
        <f>Y18*'3_Giả định'!$C$10</f>
        <v/>
      </c>
      <c r="Z23" s="187">
        <f>Z18*'3_Giả định'!$C$10</f>
        <v/>
      </c>
    </row>
    <row r="24" ht="15" customHeight="1" s="112">
      <c r="A24" s="158" t="inlineStr">
        <is>
          <t>Chi phí cố định</t>
        </is>
      </c>
      <c r="C24" s="187">
        <f>'3_Giả định'!$C$11</f>
        <v/>
      </c>
      <c r="D24" s="187">
        <f>'3_Giả định'!$C$11</f>
        <v/>
      </c>
      <c r="E24" s="187">
        <f>'3_Giả định'!$C$11</f>
        <v/>
      </c>
      <c r="F24" s="187">
        <f>'3_Giả định'!$C$11</f>
        <v/>
      </c>
      <c r="G24" s="187">
        <f>'3_Giả định'!$C$11</f>
        <v/>
      </c>
      <c r="H24" s="187">
        <f>'3_Giả định'!$C$11</f>
        <v/>
      </c>
      <c r="I24" s="187">
        <f>'3_Giả định'!$C$11</f>
        <v/>
      </c>
      <c r="J24" s="187">
        <f>'3_Giả định'!$C$11</f>
        <v/>
      </c>
      <c r="K24" s="187">
        <f>'3_Giả định'!$C$11</f>
        <v/>
      </c>
      <c r="L24" s="187">
        <f>'3_Giả định'!$C$11</f>
        <v/>
      </c>
      <c r="M24" s="187">
        <f>'3_Giả định'!$C$11</f>
        <v/>
      </c>
      <c r="N24" s="187">
        <f>'3_Giả định'!$C$11</f>
        <v/>
      </c>
      <c r="O24" s="187">
        <f>'3_Giả định'!$C$11</f>
        <v/>
      </c>
      <c r="P24" s="187">
        <f>'3_Giả định'!$C$11</f>
        <v/>
      </c>
      <c r="Q24" s="187">
        <f>'3_Giả định'!$C$11</f>
        <v/>
      </c>
      <c r="R24" s="187">
        <f>'3_Giả định'!$C$11</f>
        <v/>
      </c>
      <c r="S24" s="187">
        <f>'3_Giả định'!$C$11</f>
        <v/>
      </c>
      <c r="T24" s="187">
        <f>'3_Giả định'!$C$11</f>
        <v/>
      </c>
      <c r="U24" s="187">
        <f>'3_Giả định'!$C$11</f>
        <v/>
      </c>
      <c r="V24" s="187">
        <f>'3_Giả định'!$C$11</f>
        <v/>
      </c>
      <c r="W24" s="187">
        <f>'3_Giả định'!$C$11</f>
        <v/>
      </c>
      <c r="X24" s="187">
        <f>'3_Giả định'!$C$11</f>
        <v/>
      </c>
      <c r="Y24" s="187">
        <f>'3_Giả định'!$C$11</f>
        <v/>
      </c>
      <c r="Z24" s="187">
        <f>'3_Giả định'!$C$11</f>
        <v/>
      </c>
    </row>
    <row r="25" ht="15" customHeight="1" s="112">
      <c r="A25" s="158" t="inlineStr">
        <is>
          <t>Dòng tiền ròng</t>
        </is>
      </c>
      <c r="B25" s="187">
        <f>-'3_Giả định'!$C$12</f>
        <v/>
      </c>
      <c r="C25" s="187">
        <f>C22-C23-C24</f>
        <v/>
      </c>
      <c r="D25" s="187">
        <f>D22-D23-D24</f>
        <v/>
      </c>
      <c r="E25" s="187">
        <f>E22-E23-E24</f>
        <v/>
      </c>
      <c r="F25" s="187">
        <f>F22-F23-F24</f>
        <v/>
      </c>
      <c r="G25" s="187">
        <f>G22-G23-G24</f>
        <v/>
      </c>
      <c r="H25" s="187">
        <f>H22-H23-H24</f>
        <v/>
      </c>
      <c r="I25" s="187">
        <f>I22-I23-I24</f>
        <v/>
      </c>
      <c r="J25" s="187">
        <f>J22-J23-J24</f>
        <v/>
      </c>
      <c r="K25" s="187">
        <f>K22-K23-K24</f>
        <v/>
      </c>
      <c r="L25" s="187">
        <f>L22-L23-L24</f>
        <v/>
      </c>
      <c r="M25" s="187">
        <f>M22-M23-M24</f>
        <v/>
      </c>
      <c r="N25" s="187">
        <f>N22-N23-N24</f>
        <v/>
      </c>
      <c r="O25" s="187">
        <f>O22-O23-O24</f>
        <v/>
      </c>
      <c r="P25" s="187">
        <f>P22-P23-P24</f>
        <v/>
      </c>
      <c r="Q25" s="187">
        <f>Q22-Q23-Q24</f>
        <v/>
      </c>
      <c r="R25" s="187">
        <f>R22-R23-R24</f>
        <v/>
      </c>
      <c r="S25" s="187">
        <f>S22-S23-S24</f>
        <v/>
      </c>
      <c r="T25" s="187">
        <f>T22-T23-T24</f>
        <v/>
      </c>
      <c r="U25" s="187">
        <f>U22-U23-U24</f>
        <v/>
      </c>
      <c r="V25" s="187">
        <f>V22-V23-V24</f>
        <v/>
      </c>
      <c r="W25" s="187">
        <f>W22-W23-W24</f>
        <v/>
      </c>
      <c r="X25" s="187">
        <f>X22-X23-X24</f>
        <v/>
      </c>
      <c r="Y25" s="187">
        <f>Y22-Y23-Y24</f>
        <v/>
      </c>
      <c r="Z25" s="187">
        <f>Z22-Z23-Z24</f>
        <v/>
      </c>
    </row>
    <row r="26" ht="15" customHeight="1" s="112">
      <c r="A26" s="158" t="inlineStr">
        <is>
          <t>Tiền mặt cuối kỳ</t>
        </is>
      </c>
      <c r="B26" s="187">
        <f>'3_Giả định'!$C$13+B25</f>
        <v/>
      </c>
      <c r="C26" s="187">
        <f>B26+C25</f>
        <v/>
      </c>
      <c r="D26" s="187">
        <f>C26+D25</f>
        <v/>
      </c>
      <c r="E26" s="187">
        <f>D26+E25</f>
        <v/>
      </c>
      <c r="F26" s="187">
        <f>E26+F25</f>
        <v/>
      </c>
      <c r="G26" s="187">
        <f>F26+G25</f>
        <v/>
      </c>
      <c r="H26" s="187">
        <f>G26+H25</f>
        <v/>
      </c>
      <c r="I26" s="187">
        <f>H26+I25</f>
        <v/>
      </c>
      <c r="J26" s="187">
        <f>I26+J25</f>
        <v/>
      </c>
      <c r="K26" s="187">
        <f>J26+K25</f>
        <v/>
      </c>
      <c r="L26" s="187">
        <f>K26+L25</f>
        <v/>
      </c>
      <c r="M26" s="187">
        <f>L26+M25</f>
        <v/>
      </c>
      <c r="N26" s="187">
        <f>M26+N25</f>
        <v/>
      </c>
      <c r="O26" s="187">
        <f>N26+O25</f>
        <v/>
      </c>
      <c r="P26" s="187">
        <f>O26+P25</f>
        <v/>
      </c>
      <c r="Q26" s="187">
        <f>P26+Q25</f>
        <v/>
      </c>
      <c r="R26" s="187">
        <f>Q26+R25</f>
        <v/>
      </c>
      <c r="S26" s="187">
        <f>R26+S25</f>
        <v/>
      </c>
      <c r="T26" s="187">
        <f>S26+T25</f>
        <v/>
      </c>
      <c r="U26" s="187">
        <f>T26+U25</f>
        <v/>
      </c>
      <c r="V26" s="187">
        <f>U26+V25</f>
        <v/>
      </c>
      <c r="W26" s="187">
        <f>V26+W25</f>
        <v/>
      </c>
      <c r="X26" s="187">
        <f>W26+X25</f>
        <v/>
      </c>
      <c r="Y26" s="187">
        <f>X26+Y25</f>
        <v/>
      </c>
      <c r="Z26" s="187">
        <f>Y26+Z25</f>
        <v/>
      </c>
    </row>
    <row r="27" ht="15" customHeight="1" s="112">
      <c r="A27" s="158" t="inlineStr">
        <is>
          <t>Dòng tiền lũy kế của dự án</t>
        </is>
      </c>
      <c r="B27" s="187">
        <f>B25</f>
        <v/>
      </c>
      <c r="C27" s="187">
        <f>B27+C25</f>
        <v/>
      </c>
      <c r="D27" s="187">
        <f>C27+D25</f>
        <v/>
      </c>
      <c r="E27" s="187">
        <f>D27+E25</f>
        <v/>
      </c>
      <c r="F27" s="187">
        <f>E27+F25</f>
        <v/>
      </c>
      <c r="G27" s="187">
        <f>F27+G25</f>
        <v/>
      </c>
      <c r="H27" s="187">
        <f>G27+H25</f>
        <v/>
      </c>
      <c r="I27" s="187">
        <f>H27+I25</f>
        <v/>
      </c>
      <c r="J27" s="187">
        <f>I27+J25</f>
        <v/>
      </c>
      <c r="K27" s="187">
        <f>J27+K25</f>
        <v/>
      </c>
      <c r="L27" s="187">
        <f>K27+L25</f>
        <v/>
      </c>
      <c r="M27" s="187">
        <f>L27+M25</f>
        <v/>
      </c>
      <c r="N27" s="187">
        <f>M27+N25</f>
        <v/>
      </c>
      <c r="O27" s="187">
        <f>N27+O25</f>
        <v/>
      </c>
      <c r="P27" s="187">
        <f>O27+P25</f>
        <v/>
      </c>
      <c r="Q27" s="187">
        <f>P27+Q25</f>
        <v/>
      </c>
      <c r="R27" s="187">
        <f>Q27+R25</f>
        <v/>
      </c>
      <c r="S27" s="187">
        <f>R27+S25</f>
        <v/>
      </c>
      <c r="T27" s="187">
        <f>S27+T25</f>
        <v/>
      </c>
      <c r="U27" s="187">
        <f>T27+U25</f>
        <v/>
      </c>
      <c r="V27" s="187">
        <f>U27+V25</f>
        <v/>
      </c>
      <c r="W27" s="187">
        <f>V27+W25</f>
        <v/>
      </c>
      <c r="X27" s="187">
        <f>W27+X25</f>
        <v/>
      </c>
      <c r="Y27" s="187">
        <f>X27+Y25</f>
        <v/>
      </c>
      <c r="Z27" s="187">
        <f>Y27+Z25</f>
        <v/>
      </c>
    </row>
    <row r="29" ht="15" customHeight="1" s="112">
      <c r="A29" s="185" t="inlineStr">
        <is>
          <t>XẤU</t>
        </is>
      </c>
    </row>
    <row r="30" ht="15" customHeight="1" s="112">
      <c r="A30" s="158" t="inlineStr">
        <is>
          <t>Khách mới</t>
        </is>
      </c>
      <c r="C30" s="186">
        <f>'3_Giả định'!$D$7*(1+'3_Giả định'!$D$8)^0</f>
        <v/>
      </c>
      <c r="D30" s="186">
        <f>'3_Giả định'!$D$7*(1+'3_Giả định'!$D$8)^1</f>
        <v/>
      </c>
      <c r="E30" s="186">
        <f>'3_Giả định'!$D$7*(1+'3_Giả định'!$D$8)^2</f>
        <v/>
      </c>
      <c r="F30" s="186">
        <f>'3_Giả định'!$D$7*(1+'3_Giả định'!$D$8)^3</f>
        <v/>
      </c>
      <c r="G30" s="186">
        <f>'3_Giả định'!$D$7*(1+'3_Giả định'!$D$8)^4</f>
        <v/>
      </c>
      <c r="H30" s="186">
        <f>'3_Giả định'!$D$7*(1+'3_Giả định'!$D$8)^5</f>
        <v/>
      </c>
      <c r="I30" s="186">
        <f>'3_Giả định'!$D$7*(1+'3_Giả định'!$D$8)^6</f>
        <v/>
      </c>
      <c r="J30" s="186">
        <f>'3_Giả định'!$D$7*(1+'3_Giả định'!$D$8)^7</f>
        <v/>
      </c>
      <c r="K30" s="186">
        <f>'3_Giả định'!$D$7*(1+'3_Giả định'!$D$8)^8</f>
        <v/>
      </c>
      <c r="L30" s="186">
        <f>'3_Giả định'!$D$7*(1+'3_Giả định'!$D$8)^9</f>
        <v/>
      </c>
      <c r="M30" s="186">
        <f>'3_Giả định'!$D$7*(1+'3_Giả định'!$D$8)^10</f>
        <v/>
      </c>
      <c r="N30" s="186">
        <f>'3_Giả định'!$D$7*(1+'3_Giả định'!$D$8)^11</f>
        <v/>
      </c>
      <c r="O30" s="186">
        <f>'3_Giả định'!$D$7*(1+'3_Giả định'!$D$8)^12</f>
        <v/>
      </c>
      <c r="P30" s="186">
        <f>'3_Giả định'!$D$7*(1+'3_Giả định'!$D$8)^13</f>
        <v/>
      </c>
      <c r="Q30" s="186">
        <f>'3_Giả định'!$D$7*(1+'3_Giả định'!$D$8)^14</f>
        <v/>
      </c>
      <c r="R30" s="186">
        <f>'3_Giả định'!$D$7*(1+'3_Giả định'!$D$8)^15</f>
        <v/>
      </c>
      <c r="S30" s="186">
        <f>'3_Giả định'!$D$7*(1+'3_Giả định'!$D$8)^16</f>
        <v/>
      </c>
      <c r="T30" s="186">
        <f>'3_Giả định'!$D$7*(1+'3_Giả định'!$D$8)^17</f>
        <v/>
      </c>
      <c r="U30" s="186">
        <f>'3_Giả định'!$D$7*(1+'3_Giả định'!$D$8)^18</f>
        <v/>
      </c>
      <c r="V30" s="186">
        <f>'3_Giả định'!$D$7*(1+'3_Giả định'!$D$8)^19</f>
        <v/>
      </c>
      <c r="W30" s="186">
        <f>'3_Giả định'!$D$7*(1+'3_Giả định'!$D$8)^20</f>
        <v/>
      </c>
      <c r="X30" s="186">
        <f>'3_Giả định'!$D$7*(1+'3_Giả định'!$D$8)^21</f>
        <v/>
      </c>
      <c r="Y30" s="186">
        <f>'3_Giả định'!$D$7*(1+'3_Giả định'!$D$8)^22</f>
        <v/>
      </c>
      <c r="Z30" s="186">
        <f>'3_Giả định'!$D$7*(1+'3_Giả định'!$D$8)^23</f>
        <v/>
      </c>
    </row>
    <row r="31" ht="15" customHeight="1" s="112">
      <c r="A31" s="158" t="inlineStr">
        <is>
          <t>Khách đang dùng</t>
        </is>
      </c>
      <c r="B31" s="111" t="n">
        <v>0</v>
      </c>
      <c r="C31" s="186">
        <f>B31*(1-'3_Giả định'!$D$9)+C30</f>
        <v/>
      </c>
      <c r="D31" s="186">
        <f>C31*(1-'3_Giả định'!$D$9)+D30</f>
        <v/>
      </c>
      <c r="E31" s="186">
        <f>D31*(1-'3_Giả định'!$D$9)+E30</f>
        <v/>
      </c>
      <c r="F31" s="186">
        <f>E31*(1-'3_Giả định'!$D$9)+F30</f>
        <v/>
      </c>
      <c r="G31" s="186">
        <f>F31*(1-'3_Giả định'!$D$9)+G30</f>
        <v/>
      </c>
      <c r="H31" s="186">
        <f>G31*(1-'3_Giả định'!$D$9)+H30</f>
        <v/>
      </c>
      <c r="I31" s="186">
        <f>H31*(1-'3_Giả định'!$D$9)+I30</f>
        <v/>
      </c>
      <c r="J31" s="186">
        <f>I31*(1-'3_Giả định'!$D$9)+J30</f>
        <v/>
      </c>
      <c r="K31" s="186">
        <f>J31*(1-'3_Giả định'!$D$9)+K30</f>
        <v/>
      </c>
      <c r="L31" s="186">
        <f>K31*(1-'3_Giả định'!$D$9)+L30</f>
        <v/>
      </c>
      <c r="M31" s="186">
        <f>L31*(1-'3_Giả định'!$D$9)+M30</f>
        <v/>
      </c>
      <c r="N31" s="186">
        <f>M31*(1-'3_Giả định'!$D$9)+N30</f>
        <v/>
      </c>
      <c r="O31" s="186">
        <f>N31*(1-'3_Giả định'!$D$9)+O30</f>
        <v/>
      </c>
      <c r="P31" s="186">
        <f>O31*(1-'3_Giả định'!$D$9)+P30</f>
        <v/>
      </c>
      <c r="Q31" s="186">
        <f>P31*(1-'3_Giả định'!$D$9)+Q30</f>
        <v/>
      </c>
      <c r="R31" s="186">
        <f>Q31*(1-'3_Giả định'!$D$9)+R30</f>
        <v/>
      </c>
      <c r="S31" s="186">
        <f>R31*(1-'3_Giả định'!$D$9)+S30</f>
        <v/>
      </c>
      <c r="T31" s="186">
        <f>S31*(1-'3_Giả định'!$D$9)+T30</f>
        <v/>
      </c>
      <c r="U31" s="186">
        <f>T31*(1-'3_Giả định'!$D$9)+U30</f>
        <v/>
      </c>
      <c r="V31" s="186">
        <f>U31*(1-'3_Giả định'!$D$9)+V30</f>
        <v/>
      </c>
      <c r="W31" s="186">
        <f>V31*(1-'3_Giả định'!$D$9)+W30</f>
        <v/>
      </c>
      <c r="X31" s="186">
        <f>W31*(1-'3_Giả định'!$D$9)+X30</f>
        <v/>
      </c>
      <c r="Y31" s="186">
        <f>X31*(1-'3_Giả định'!$D$9)+Y30</f>
        <v/>
      </c>
      <c r="Z31" s="186">
        <f>Y31*(1-'3_Giả định'!$D$9)+Z30</f>
        <v/>
      </c>
    </row>
    <row r="32" ht="15" customHeight="1" s="112">
      <c r="A32" s="158" t="inlineStr">
        <is>
          <t>Doanh thu</t>
        </is>
      </c>
      <c r="C32" s="187">
        <f>C31*'3_Giả định'!$D$17</f>
        <v/>
      </c>
      <c r="D32" s="187">
        <f>D31*'3_Giả định'!$D$17</f>
        <v/>
      </c>
      <c r="E32" s="187">
        <f>E31*'3_Giả định'!$D$17</f>
        <v/>
      </c>
      <c r="F32" s="187">
        <f>F31*'3_Giả định'!$D$17</f>
        <v/>
      </c>
      <c r="G32" s="187">
        <f>G31*'3_Giả định'!$D$17</f>
        <v/>
      </c>
      <c r="H32" s="187">
        <f>H31*'3_Giả định'!$D$17</f>
        <v/>
      </c>
      <c r="I32" s="187">
        <f>I31*'3_Giả định'!$D$17</f>
        <v/>
      </c>
      <c r="J32" s="187">
        <f>J31*'3_Giả định'!$D$17</f>
        <v/>
      </c>
      <c r="K32" s="187">
        <f>K31*'3_Giả định'!$D$17</f>
        <v/>
      </c>
      <c r="L32" s="187">
        <f>L31*'3_Giả định'!$D$17</f>
        <v/>
      </c>
      <c r="M32" s="187">
        <f>M31*'3_Giả định'!$D$17</f>
        <v/>
      </c>
      <c r="N32" s="187">
        <f>N31*'3_Giả định'!$D$17</f>
        <v/>
      </c>
      <c r="O32" s="187">
        <f>O31*'3_Giả định'!$D$17</f>
        <v/>
      </c>
      <c r="P32" s="187">
        <f>P31*'3_Giả định'!$D$17</f>
        <v/>
      </c>
      <c r="Q32" s="187">
        <f>Q31*'3_Giả định'!$D$17</f>
        <v/>
      </c>
      <c r="R32" s="187">
        <f>R31*'3_Giả định'!$D$17</f>
        <v/>
      </c>
      <c r="S32" s="187">
        <f>S31*'3_Giả định'!$D$17</f>
        <v/>
      </c>
      <c r="T32" s="187">
        <f>T31*'3_Giả định'!$D$17</f>
        <v/>
      </c>
      <c r="U32" s="187">
        <f>U31*'3_Giả định'!$D$17</f>
        <v/>
      </c>
      <c r="V32" s="187">
        <f>V31*'3_Giả định'!$D$17</f>
        <v/>
      </c>
      <c r="W32" s="187">
        <f>W31*'3_Giả định'!$D$17</f>
        <v/>
      </c>
      <c r="X32" s="187">
        <f>X31*'3_Giả định'!$D$17</f>
        <v/>
      </c>
      <c r="Y32" s="187">
        <f>Y31*'3_Giả định'!$D$17</f>
        <v/>
      </c>
      <c r="Z32" s="187">
        <f>Z31*'3_Giả định'!$D$17</f>
        <v/>
      </c>
    </row>
    <row r="33" ht="15" customHeight="1" s="112">
      <c r="A33" s="158" t="inlineStr">
        <is>
          <t>Chi phí AI (giá vốn)</t>
        </is>
      </c>
      <c r="C33" s="187">
        <f>C31*'3_Giả định'!$D$18</f>
        <v/>
      </c>
      <c r="D33" s="187">
        <f>D31*'3_Giả định'!$D$18</f>
        <v/>
      </c>
      <c r="E33" s="187">
        <f>E31*'3_Giả định'!$D$18</f>
        <v/>
      </c>
      <c r="F33" s="187">
        <f>F31*'3_Giả định'!$D$18</f>
        <v/>
      </c>
      <c r="G33" s="187">
        <f>G31*'3_Giả định'!$D$18</f>
        <v/>
      </c>
      <c r="H33" s="187">
        <f>H31*'3_Giả định'!$D$18</f>
        <v/>
      </c>
      <c r="I33" s="187">
        <f>I31*'3_Giả định'!$D$18</f>
        <v/>
      </c>
      <c r="J33" s="187">
        <f>J31*'3_Giả định'!$D$18</f>
        <v/>
      </c>
      <c r="K33" s="187">
        <f>K31*'3_Giả định'!$D$18</f>
        <v/>
      </c>
      <c r="L33" s="187">
        <f>L31*'3_Giả định'!$D$18</f>
        <v/>
      </c>
      <c r="M33" s="187">
        <f>M31*'3_Giả định'!$D$18</f>
        <v/>
      </c>
      <c r="N33" s="187">
        <f>N31*'3_Giả định'!$D$18</f>
        <v/>
      </c>
      <c r="O33" s="187">
        <f>O31*'3_Giả định'!$D$18</f>
        <v/>
      </c>
      <c r="P33" s="187">
        <f>P31*'3_Giả định'!$D$18</f>
        <v/>
      </c>
      <c r="Q33" s="187">
        <f>Q31*'3_Giả định'!$D$18</f>
        <v/>
      </c>
      <c r="R33" s="187">
        <f>R31*'3_Giả định'!$D$18</f>
        <v/>
      </c>
      <c r="S33" s="187">
        <f>S31*'3_Giả định'!$D$18</f>
        <v/>
      </c>
      <c r="T33" s="187">
        <f>T31*'3_Giả định'!$D$18</f>
        <v/>
      </c>
      <c r="U33" s="187">
        <f>U31*'3_Giả định'!$D$18</f>
        <v/>
      </c>
      <c r="V33" s="187">
        <f>V31*'3_Giả định'!$D$18</f>
        <v/>
      </c>
      <c r="W33" s="187">
        <f>W31*'3_Giả định'!$D$18</f>
        <v/>
      </c>
      <c r="X33" s="187">
        <f>X31*'3_Giả định'!$D$18</f>
        <v/>
      </c>
      <c r="Y33" s="187">
        <f>Y31*'3_Giả định'!$D$18</f>
        <v/>
      </c>
      <c r="Z33" s="187">
        <f>Z31*'3_Giả định'!$D$18</f>
        <v/>
      </c>
    </row>
    <row r="34" ht="15" customHeight="1" s="112">
      <c r="A34" s="158" t="inlineStr">
        <is>
          <t>Lợi nhuận gộp</t>
        </is>
      </c>
      <c r="C34" s="187">
        <f>C32-C33</f>
        <v/>
      </c>
      <c r="D34" s="187">
        <f>D32-D33</f>
        <v/>
      </c>
      <c r="E34" s="187">
        <f>E32-E33</f>
        <v/>
      </c>
      <c r="F34" s="187">
        <f>F32-F33</f>
        <v/>
      </c>
      <c r="G34" s="187">
        <f>G32-G33</f>
        <v/>
      </c>
      <c r="H34" s="187">
        <f>H32-H33</f>
        <v/>
      </c>
      <c r="I34" s="187">
        <f>I32-I33</f>
        <v/>
      </c>
      <c r="J34" s="187">
        <f>J32-J33</f>
        <v/>
      </c>
      <c r="K34" s="187">
        <f>K32-K33</f>
        <v/>
      </c>
      <c r="L34" s="187">
        <f>L32-L33</f>
        <v/>
      </c>
      <c r="M34" s="187">
        <f>M32-M33</f>
        <v/>
      </c>
      <c r="N34" s="187">
        <f>N32-N33</f>
        <v/>
      </c>
      <c r="O34" s="187">
        <f>O32-O33</f>
        <v/>
      </c>
      <c r="P34" s="187">
        <f>P32-P33</f>
        <v/>
      </c>
      <c r="Q34" s="187">
        <f>Q32-Q33</f>
        <v/>
      </c>
      <c r="R34" s="187">
        <f>R32-R33</f>
        <v/>
      </c>
      <c r="S34" s="187">
        <f>S32-S33</f>
        <v/>
      </c>
      <c r="T34" s="187">
        <f>T32-T33</f>
        <v/>
      </c>
      <c r="U34" s="187">
        <f>U32-U33</f>
        <v/>
      </c>
      <c r="V34" s="187">
        <f>V32-V33</f>
        <v/>
      </c>
      <c r="W34" s="187">
        <f>W32-W33</f>
        <v/>
      </c>
      <c r="X34" s="187">
        <f>X32-X33</f>
        <v/>
      </c>
      <c r="Y34" s="187">
        <f>Y32-Y33</f>
        <v/>
      </c>
      <c r="Z34" s="187">
        <f>Z32-Z33</f>
        <v/>
      </c>
    </row>
    <row r="35" ht="15" customHeight="1" s="112">
      <c r="A35" s="158" t="inlineStr">
        <is>
          <t>Chi phí bán hàng (chi phí có khách × khách mới)</t>
        </is>
      </c>
      <c r="C35" s="187">
        <f>C30*'3_Giả định'!$D$10</f>
        <v/>
      </c>
      <c r="D35" s="187">
        <f>D30*'3_Giả định'!$D$10</f>
        <v/>
      </c>
      <c r="E35" s="187">
        <f>E30*'3_Giả định'!$D$10</f>
        <v/>
      </c>
      <c r="F35" s="187">
        <f>F30*'3_Giả định'!$D$10</f>
        <v/>
      </c>
      <c r="G35" s="187">
        <f>G30*'3_Giả định'!$D$10</f>
        <v/>
      </c>
      <c r="H35" s="187">
        <f>H30*'3_Giả định'!$D$10</f>
        <v/>
      </c>
      <c r="I35" s="187">
        <f>I30*'3_Giả định'!$D$10</f>
        <v/>
      </c>
      <c r="J35" s="187">
        <f>J30*'3_Giả định'!$D$10</f>
        <v/>
      </c>
      <c r="K35" s="187">
        <f>K30*'3_Giả định'!$D$10</f>
        <v/>
      </c>
      <c r="L35" s="187">
        <f>L30*'3_Giả định'!$D$10</f>
        <v/>
      </c>
      <c r="M35" s="187">
        <f>M30*'3_Giả định'!$D$10</f>
        <v/>
      </c>
      <c r="N35" s="187">
        <f>N30*'3_Giả định'!$D$10</f>
        <v/>
      </c>
      <c r="O35" s="187">
        <f>O30*'3_Giả định'!$D$10</f>
        <v/>
      </c>
      <c r="P35" s="187">
        <f>P30*'3_Giả định'!$D$10</f>
        <v/>
      </c>
      <c r="Q35" s="187">
        <f>Q30*'3_Giả định'!$D$10</f>
        <v/>
      </c>
      <c r="R35" s="187">
        <f>R30*'3_Giả định'!$D$10</f>
        <v/>
      </c>
      <c r="S35" s="187">
        <f>S30*'3_Giả định'!$D$10</f>
        <v/>
      </c>
      <c r="T35" s="187">
        <f>T30*'3_Giả định'!$D$10</f>
        <v/>
      </c>
      <c r="U35" s="187">
        <f>U30*'3_Giả định'!$D$10</f>
        <v/>
      </c>
      <c r="V35" s="187">
        <f>V30*'3_Giả định'!$D$10</f>
        <v/>
      </c>
      <c r="W35" s="187">
        <f>W30*'3_Giả định'!$D$10</f>
        <v/>
      </c>
      <c r="X35" s="187">
        <f>X30*'3_Giả định'!$D$10</f>
        <v/>
      </c>
      <c r="Y35" s="187">
        <f>Y30*'3_Giả định'!$D$10</f>
        <v/>
      </c>
      <c r="Z35" s="187">
        <f>Z30*'3_Giả định'!$D$10</f>
        <v/>
      </c>
    </row>
    <row r="36" ht="15" customHeight="1" s="112">
      <c r="A36" s="158" t="inlineStr">
        <is>
          <t>Chi phí cố định</t>
        </is>
      </c>
      <c r="C36" s="187">
        <f>'3_Giả định'!$D$11</f>
        <v/>
      </c>
      <c r="D36" s="187">
        <f>'3_Giả định'!$D$11</f>
        <v/>
      </c>
      <c r="E36" s="187">
        <f>'3_Giả định'!$D$11</f>
        <v/>
      </c>
      <c r="F36" s="187">
        <f>'3_Giả định'!$D$11</f>
        <v/>
      </c>
      <c r="G36" s="187">
        <f>'3_Giả định'!$D$11</f>
        <v/>
      </c>
      <c r="H36" s="187">
        <f>'3_Giả định'!$D$11</f>
        <v/>
      </c>
      <c r="I36" s="187">
        <f>'3_Giả định'!$D$11</f>
        <v/>
      </c>
      <c r="J36" s="187">
        <f>'3_Giả định'!$D$11</f>
        <v/>
      </c>
      <c r="K36" s="187">
        <f>'3_Giả định'!$D$11</f>
        <v/>
      </c>
      <c r="L36" s="187">
        <f>'3_Giả định'!$D$11</f>
        <v/>
      </c>
      <c r="M36" s="187">
        <f>'3_Giả định'!$D$11</f>
        <v/>
      </c>
      <c r="N36" s="187">
        <f>'3_Giả định'!$D$11</f>
        <v/>
      </c>
      <c r="O36" s="187">
        <f>'3_Giả định'!$D$11</f>
        <v/>
      </c>
      <c r="P36" s="187">
        <f>'3_Giả định'!$D$11</f>
        <v/>
      </c>
      <c r="Q36" s="187">
        <f>'3_Giả định'!$D$11</f>
        <v/>
      </c>
      <c r="R36" s="187">
        <f>'3_Giả định'!$D$11</f>
        <v/>
      </c>
      <c r="S36" s="187">
        <f>'3_Giả định'!$D$11</f>
        <v/>
      </c>
      <c r="T36" s="187">
        <f>'3_Giả định'!$D$11</f>
        <v/>
      </c>
      <c r="U36" s="187">
        <f>'3_Giả định'!$D$11</f>
        <v/>
      </c>
      <c r="V36" s="187">
        <f>'3_Giả định'!$D$11</f>
        <v/>
      </c>
      <c r="W36" s="187">
        <f>'3_Giả định'!$D$11</f>
        <v/>
      </c>
      <c r="X36" s="187">
        <f>'3_Giả định'!$D$11</f>
        <v/>
      </c>
      <c r="Y36" s="187">
        <f>'3_Giả định'!$D$11</f>
        <v/>
      </c>
      <c r="Z36" s="187">
        <f>'3_Giả định'!$D$11</f>
        <v/>
      </c>
    </row>
    <row r="37" ht="15" customHeight="1" s="112">
      <c r="A37" s="158" t="inlineStr">
        <is>
          <t>Dòng tiền ròng</t>
        </is>
      </c>
      <c r="B37" s="187">
        <f>-'3_Giả định'!$D$12</f>
        <v/>
      </c>
      <c r="C37" s="187">
        <f>C34-C35-C36</f>
        <v/>
      </c>
      <c r="D37" s="187">
        <f>D34-D35-D36</f>
        <v/>
      </c>
      <c r="E37" s="187">
        <f>E34-E35-E36</f>
        <v/>
      </c>
      <c r="F37" s="187">
        <f>F34-F35-F36</f>
        <v/>
      </c>
      <c r="G37" s="187">
        <f>G34-G35-G36</f>
        <v/>
      </c>
      <c r="H37" s="187">
        <f>H34-H35-H36</f>
        <v/>
      </c>
      <c r="I37" s="187">
        <f>I34-I35-I36</f>
        <v/>
      </c>
      <c r="J37" s="187">
        <f>J34-J35-J36</f>
        <v/>
      </c>
      <c r="K37" s="187">
        <f>K34-K35-K36</f>
        <v/>
      </c>
      <c r="L37" s="187">
        <f>L34-L35-L36</f>
        <v/>
      </c>
      <c r="M37" s="187">
        <f>M34-M35-M36</f>
        <v/>
      </c>
      <c r="N37" s="187">
        <f>N34-N35-N36</f>
        <v/>
      </c>
      <c r="O37" s="187">
        <f>O34-O35-O36</f>
        <v/>
      </c>
      <c r="P37" s="187">
        <f>P34-P35-P36</f>
        <v/>
      </c>
      <c r="Q37" s="187">
        <f>Q34-Q35-Q36</f>
        <v/>
      </c>
      <c r="R37" s="187">
        <f>R34-R35-R36</f>
        <v/>
      </c>
      <c r="S37" s="187">
        <f>S34-S35-S36</f>
        <v/>
      </c>
      <c r="T37" s="187">
        <f>T34-T35-T36</f>
        <v/>
      </c>
      <c r="U37" s="187">
        <f>U34-U35-U36</f>
        <v/>
      </c>
      <c r="V37" s="187">
        <f>V34-V35-V36</f>
        <v/>
      </c>
      <c r="W37" s="187">
        <f>W34-W35-W36</f>
        <v/>
      </c>
      <c r="X37" s="187">
        <f>X34-X35-X36</f>
        <v/>
      </c>
      <c r="Y37" s="187">
        <f>Y34-Y35-Y36</f>
        <v/>
      </c>
      <c r="Z37" s="187">
        <f>Z34-Z35-Z36</f>
        <v/>
      </c>
    </row>
    <row r="38" ht="15" customHeight="1" s="112">
      <c r="A38" s="158" t="inlineStr">
        <is>
          <t>Tiền mặt cuối kỳ</t>
        </is>
      </c>
      <c r="B38" s="187">
        <f>'3_Giả định'!$D$13+B37</f>
        <v/>
      </c>
      <c r="C38" s="187">
        <f>B38+C37</f>
        <v/>
      </c>
      <c r="D38" s="187">
        <f>C38+D37</f>
        <v/>
      </c>
      <c r="E38" s="187">
        <f>D38+E37</f>
        <v/>
      </c>
      <c r="F38" s="187">
        <f>E38+F37</f>
        <v/>
      </c>
      <c r="G38" s="187">
        <f>F38+G37</f>
        <v/>
      </c>
      <c r="H38" s="187">
        <f>G38+H37</f>
        <v/>
      </c>
      <c r="I38" s="187">
        <f>H38+I37</f>
        <v/>
      </c>
      <c r="J38" s="187">
        <f>I38+J37</f>
        <v/>
      </c>
      <c r="K38" s="187">
        <f>J38+K37</f>
        <v/>
      </c>
      <c r="L38" s="187">
        <f>K38+L37</f>
        <v/>
      </c>
      <c r="M38" s="187">
        <f>L38+M37</f>
        <v/>
      </c>
      <c r="N38" s="187">
        <f>M38+N37</f>
        <v/>
      </c>
      <c r="O38" s="187">
        <f>N38+O37</f>
        <v/>
      </c>
      <c r="P38" s="187">
        <f>O38+P37</f>
        <v/>
      </c>
      <c r="Q38" s="187">
        <f>P38+Q37</f>
        <v/>
      </c>
      <c r="R38" s="187">
        <f>Q38+R37</f>
        <v/>
      </c>
      <c r="S38" s="187">
        <f>R38+S37</f>
        <v/>
      </c>
      <c r="T38" s="187">
        <f>S38+T37</f>
        <v/>
      </c>
      <c r="U38" s="187">
        <f>T38+U37</f>
        <v/>
      </c>
      <c r="V38" s="187">
        <f>U38+V37</f>
        <v/>
      </c>
      <c r="W38" s="187">
        <f>V38+W37</f>
        <v/>
      </c>
      <c r="X38" s="187">
        <f>W38+X37</f>
        <v/>
      </c>
      <c r="Y38" s="187">
        <f>X38+Y37</f>
        <v/>
      </c>
      <c r="Z38" s="187">
        <f>Y38+Z37</f>
        <v/>
      </c>
    </row>
    <row r="39" ht="15" customHeight="1" s="112">
      <c r="A39" s="158" t="inlineStr">
        <is>
          <t>Dòng tiền lũy kế của dự án</t>
        </is>
      </c>
      <c r="B39" s="187">
        <f>B37</f>
        <v/>
      </c>
      <c r="C39" s="187">
        <f>B39+C37</f>
        <v/>
      </c>
      <c r="D39" s="187">
        <f>C39+D37</f>
        <v/>
      </c>
      <c r="E39" s="187">
        <f>D39+E37</f>
        <v/>
      </c>
      <c r="F39" s="187">
        <f>E39+F37</f>
        <v/>
      </c>
      <c r="G39" s="187">
        <f>F39+G37</f>
        <v/>
      </c>
      <c r="H39" s="187">
        <f>G39+H37</f>
        <v/>
      </c>
      <c r="I39" s="187">
        <f>H39+I37</f>
        <v/>
      </c>
      <c r="J39" s="187">
        <f>I39+J37</f>
        <v/>
      </c>
      <c r="K39" s="187">
        <f>J39+K37</f>
        <v/>
      </c>
      <c r="L39" s="187">
        <f>K39+L37</f>
        <v/>
      </c>
      <c r="M39" s="187">
        <f>L39+M37</f>
        <v/>
      </c>
      <c r="N39" s="187">
        <f>M39+N37</f>
        <v/>
      </c>
      <c r="O39" s="187">
        <f>N39+O37</f>
        <v/>
      </c>
      <c r="P39" s="187">
        <f>O39+P37</f>
        <v/>
      </c>
      <c r="Q39" s="187">
        <f>P39+Q37</f>
        <v/>
      </c>
      <c r="R39" s="187">
        <f>Q39+R37</f>
        <v/>
      </c>
      <c r="S39" s="187">
        <f>R39+S37</f>
        <v/>
      </c>
      <c r="T39" s="187">
        <f>S39+T37</f>
        <v/>
      </c>
      <c r="U39" s="187">
        <f>T39+U37</f>
        <v/>
      </c>
      <c r="V39" s="187">
        <f>U39+V37</f>
        <v/>
      </c>
      <c r="W39" s="187">
        <f>V39+W37</f>
        <v/>
      </c>
      <c r="X39" s="187">
        <f>W39+X37</f>
        <v/>
      </c>
      <c r="Y39" s="187">
        <f>X39+Y37</f>
        <v/>
      </c>
      <c r="Z39" s="187">
        <f>Y39+Z37</f>
        <v/>
      </c>
    </row>
    <row r="42" ht="15" customHeight="1" s="112">
      <c r="A42" s="188" t="inlineStr">
        <is>
          <t>TÓM TẮT HIỆU QUẢ ĐẦU TƯ</t>
        </is>
      </c>
    </row>
    <row r="43" ht="26.25" customHeight="1" s="112">
      <c r="A43" s="125" t="inlineStr">
        <is>
          <t>Chỉ số</t>
        </is>
      </c>
      <c r="B43" s="125" t="inlineStr">
        <is>
          <t>Lạc quan</t>
        </is>
      </c>
      <c r="C43" s="125" t="inlineStr">
        <is>
          <t>Cơ sở</t>
        </is>
      </c>
      <c r="D43" s="125" t="inlineStr">
        <is>
          <t>Xấu</t>
        </is>
      </c>
      <c r="E43" s="125" t="inlineStr">
        <is>
          <t>Ngưỡng tham khảo</t>
        </is>
      </c>
    </row>
    <row r="44" ht="31.5" customHeight="1" s="112">
      <c r="A44" s="122" t="inlineStr">
        <is>
          <t>Giá trị hiện tại ròng 24 tháng (đồng; lớn hơn 0 là đáng làm)</t>
        </is>
      </c>
      <c r="B44" s="159">
        <f>B13+NPV('3_Giả định'!$B$14/12,C13:Z13)</f>
        <v/>
      </c>
      <c r="C44" s="159">
        <f>B25+NPV('3_Giả định'!$C$14/12,C25:Z25)</f>
        <v/>
      </c>
      <c r="D44" s="159">
        <f>B37+NPV('3_Giả định'!$D$14/12,C37:Z37)</f>
        <v/>
      </c>
      <c r="E44" s="111" t="inlineStr">
        <is>
          <t>&gt; 0</t>
        </is>
      </c>
    </row>
    <row r="45" ht="15" customHeight="1" s="112">
      <c r="A45" s="158" t="inlineStr">
        <is>
          <t>Tỷ suất hoàn vốn nội bộ (IRR, quy ra năm)</t>
        </is>
      </c>
      <c r="B45" s="161">
        <f>IFERROR((1+IRR(B13:Z13,0.01))^12-1,"Không tính được")</f>
        <v/>
      </c>
      <c r="C45" s="161">
        <f>IFERROR((1+IRR(B25:Z25,0.01))^12-1,"Không tính được")</f>
        <v/>
      </c>
      <c r="D45" s="161">
        <f>IFERROR((1+IRR(B37:Z37,0.01))^12-1,"Không tính được")</f>
        <v/>
      </c>
      <c r="E45" s="111" t="inlineStr">
        <is>
          <t>&gt; chi phí vốn</t>
        </is>
      </c>
      <c r="F45" s="162" t="inlineStr">
        <is>
          <t>Lãi suất làm giá trị hiện tại ròng bằng 0; so với chi phí vốn 15%. Số rất lớn ở kịch bản lạc quan là do vốn quay về nhanh — chỉ dùng để so sánh, không đọc như lợi nhuận.</t>
        </is>
      </c>
    </row>
    <row r="46" ht="15" customHeight="1" s="112">
      <c r="A46" s="158" t="inlineStr">
        <is>
          <t>Tiền mặt thấp nhất</t>
        </is>
      </c>
      <c r="B46" s="159">
        <f>MIN(B14:Z14)</f>
        <v/>
      </c>
      <c r="C46" s="159">
        <f>MIN(B26:Z26)</f>
        <v/>
      </c>
      <c r="D46" s="159">
        <f>MIN(B38:Z38)</f>
        <v/>
      </c>
      <c r="E46" s="111" t="inlineStr">
        <is>
          <t>&gt; 0</t>
        </is>
      </c>
    </row>
    <row r="47" ht="15" customHeight="1" s="112">
      <c r="A47" s="158" t="inlineStr">
        <is>
          <t>Tháng hết tiền</t>
        </is>
      </c>
      <c r="B47" s="189">
        <f>IF('3_Giả định'!B7=0,"Chưa điền",IFERROR(MATCH(TRUE(),INDEX(C14:Z14&lt;0,0),0),"Không hết tiền trong 24 tháng"))</f>
        <v/>
      </c>
      <c r="C47" s="189">
        <f>IF('3_Giả định'!C7=0,"Chưa điền",IFERROR(MATCH(TRUE(),INDEX(C26:Z26&lt;0,0),0),"Không hết tiền trong 24 tháng"))</f>
        <v/>
      </c>
      <c r="D47" s="189">
        <f>IF('3_Giả định'!D7=0,"Chưa điền",IFERROR(MATCH(TRUE(),INDEX(C38:Z38&lt;0,0),0),"Không hết tiền trong 24 tháng"))</f>
        <v/>
      </c>
      <c r="E47" s="111" t="inlineStr">
        <is>
          <t>Không hết trong 12 tháng đầu</t>
        </is>
      </c>
      <c r="F47" s="162" t="inlineStr">
        <is>
          <t>Chỉ báo khi tiền mặt âm trong 24 tháng. Kịch bản cơ sở có thể luôn "Không hết tiền" — khi thử độ nhạy, hãy nhìn giá trị hiện tại ròng.</t>
        </is>
      </c>
    </row>
    <row r="48" ht="15" customHeight="1" s="112">
      <c r="A48" s="158" t="inlineStr">
        <is>
          <t>Hoàn vốn dự án</t>
        </is>
      </c>
      <c r="B48" s="189">
        <f>IF('3_Giả định'!B7=0,"Chưa điền",IFERROR(MATCH(TRUE(),INDEX(C15:Z15&gt;=0,0),0),"Chưa hoàn vốn trong 24 tháng"))</f>
        <v/>
      </c>
      <c r="C48" s="189">
        <f>IF('3_Giả định'!C7=0,"Chưa điền",IFERROR(MATCH(TRUE(),INDEX(C27:Z27&gt;=0,0),0),"Chưa hoàn vốn trong 24 tháng"))</f>
        <v/>
      </c>
      <c r="D48" s="189">
        <f>IF('3_Giả định'!D7=0,"Chưa điền",IFERROR(MATCH(TRUE(),INDEX(C39:Z39&gt;=0,0),0),"Chưa hoàn vốn trong 24 tháng"))</f>
        <v/>
      </c>
      <c r="E48" s="111" t="inlineStr">
        <is>
          <t>&lt; 24 tháng</t>
        </is>
      </c>
    </row>
    <row r="49" ht="15" customHeight="1" s="112">
      <c r="A49" s="158" t="inlineStr">
        <is>
          <t>Khách đang dùng tháng 24</t>
        </is>
      </c>
      <c r="B49" s="169">
        <f>Z7</f>
        <v/>
      </c>
      <c r="C49" s="169">
        <f>Z19</f>
        <v/>
      </c>
      <c r="D49" s="169">
        <f>Z31</f>
        <v/>
      </c>
    </row>
    <row r="50" ht="15" customHeight="1" s="112">
      <c r="A50" s="158" t="inlineStr">
        <is>
          <t>Doanh thu tháng 24</t>
        </is>
      </c>
      <c r="B50" s="159">
        <f>Z8</f>
        <v/>
      </c>
      <c r="C50" s="159">
        <f>Z20</f>
        <v/>
      </c>
      <c r="D50" s="159">
        <f>Z32</f>
        <v/>
      </c>
    </row>
    <row r="53" ht="15" customHeight="1" s="112">
      <c r="A53" s="188" t="inlineStr">
        <is>
          <t>BẢNG ĐỘ NHẠY (kịch bản cơ sở): làm xấu từng biến, mỗi lần một biến</t>
        </is>
      </c>
    </row>
    <row r="54" ht="15" customHeight="1" s="112">
      <c r="A54" s="190" t="inlineStr">
        <is>
          <t>Mức làm xấu</t>
        </is>
      </c>
      <c r="B54" s="191" t="n">
        <v>0.2</v>
      </c>
      <c r="C54" s="162" t="inlineStr">
        <is>
          <t>Có thể đổi thành 10% hoặc 30% để thử</t>
        </is>
      </c>
    </row>
    <row r="56" ht="45" customHeight="1" s="112">
      <c r="A56" s="192" t="inlineStr">
        <is>
          <t>Biến làm xấu</t>
        </is>
      </c>
      <c r="B56" s="193" t="inlineStr">
        <is>
          <t>Giá trị cơ sở</t>
        </is>
      </c>
      <c r="C56" s="193" t="inlineStr">
        <is>
          <t>Giá trị sau khi làm xấu</t>
        </is>
      </c>
      <c r="D56" s="193" t="inlineStr">
        <is>
          <t>Giá trị hiện tại ròng 24 tháng (triệu đồng)</t>
        </is>
      </c>
      <c r="E56" s="193" t="inlineStr">
        <is>
          <t>Chênh lệch so với cơ sở (triệu đồng)</t>
        </is>
      </c>
      <c r="F56" s="193" t="inlineStr">
        <is>
          <t>Tháng hết tiền</t>
        </is>
      </c>
      <c r="G56" s="193" t="inlineStr">
        <is>
          <t>Tháng hoàn vốn</t>
        </is>
      </c>
      <c r="H56" s="193" t="inlineStr">
        <is>
          <t>Mức nguy hiểm (1 = nhất)</t>
        </is>
      </c>
    </row>
    <row r="57" ht="27.75" customHeight="1" s="112">
      <c r="A57" s="116" t="inlineStr">
        <is>
          <t>Không đổi (cơ sở)</t>
        </is>
      </c>
      <c r="B57" s="194" t="inlineStr">
        <is>
          <t>—</t>
        </is>
      </c>
      <c r="C57" s="194" t="inlineStr">
        <is>
          <t>—</t>
        </is>
      </c>
      <c r="D57" s="195">
        <f>(B94+NPV($K$80/12,C94:Z94))/1000000</f>
        <v/>
      </c>
      <c r="E57" s="194" t="inlineStr">
        <is>
          <t>—</t>
        </is>
      </c>
      <c r="F57" s="196">
        <f>IFERROR(MATCH(TRUE(),INDEX(C95:Z95&lt;0,0),0),"Không hết tiền trong 24 tháng")</f>
        <v/>
      </c>
      <c r="G57" s="196">
        <f>IFERROR(MATCH(TRUE(),INDEX(C96:Z96&gt;=0,0),0),"Chưa hoàn vốn trong 24 tháng")</f>
        <v/>
      </c>
    </row>
    <row r="58" ht="27.75" customHeight="1" s="112">
      <c r="A58" s="190" t="inlineStr">
        <is>
          <t>Doanh thu bình quân giảm</t>
        </is>
      </c>
      <c r="B58" s="195">
        <f>'3_Giả định'!$C$17</f>
        <v/>
      </c>
      <c r="C58" s="195">
        <f>B81</f>
        <v/>
      </c>
      <c r="D58" s="195">
        <f>(B100+NPV($K$81/12,C100:Z100))/1000000</f>
        <v/>
      </c>
      <c r="E58" s="195">
        <f>D58-$D$57</f>
        <v/>
      </c>
      <c r="F58" s="196">
        <f>IFERROR(MATCH(TRUE(),INDEX(C101:Z101&lt;0,0),0),"Không hết tiền trong 24 tháng")</f>
        <v/>
      </c>
      <c r="G58" s="196">
        <f>IFERROR(MATCH(TRUE(),INDEX(C102:Z102&gt;=0,0),0),"Chưa hoàn vốn trong 24 tháng")</f>
        <v/>
      </c>
      <c r="H58" s="197">
        <f>RANK(D58,$D$58:$D$64,1)</f>
        <v/>
      </c>
    </row>
    <row r="59" ht="27.75" customHeight="1" s="112">
      <c r="A59" s="190" t="inlineStr">
        <is>
          <t>Chi phí AI tăng</t>
        </is>
      </c>
      <c r="B59" s="195">
        <f>'3_Giả định'!$C$18</f>
        <v/>
      </c>
      <c r="C59" s="195">
        <f>C82</f>
        <v/>
      </c>
      <c r="D59" s="195">
        <f>(B106+NPV($K$82/12,C106:Z106))/1000000</f>
        <v/>
      </c>
      <c r="E59" s="195">
        <f>D59-$D$57</f>
        <v/>
      </c>
      <c r="F59" s="196">
        <f>IFERROR(MATCH(TRUE(),INDEX(C107:Z107&lt;0,0),0),"Không hết tiền trong 24 tháng")</f>
        <v/>
      </c>
      <c r="G59" s="196">
        <f>IFERROR(MATCH(TRUE(),INDEX(C108:Z108&gt;=0,0),0),"Chưa hoàn vốn trong 24 tháng")</f>
        <v/>
      </c>
      <c r="H59" s="197">
        <f>RANK(D59,$D$58:$D$64,1)</f>
        <v/>
      </c>
    </row>
    <row r="60" ht="27.75" customHeight="1" s="112">
      <c r="A60" s="190" t="inlineStr">
        <is>
          <t>Tỷ lệ rời bỏ tăng</t>
        </is>
      </c>
      <c r="B60" s="198">
        <f>'3_Giả định'!$C$9</f>
        <v/>
      </c>
      <c r="C60" s="198">
        <f>F83</f>
        <v/>
      </c>
      <c r="D60" s="195">
        <f>(B112+NPV($K$83/12,C112:Z112))/1000000</f>
        <v/>
      </c>
      <c r="E60" s="195">
        <f>D60-$D$57</f>
        <v/>
      </c>
      <c r="F60" s="196">
        <f>IFERROR(MATCH(TRUE(),INDEX(C113:Z113&lt;0,0),0),"Không hết tiền trong 24 tháng")</f>
        <v/>
      </c>
      <c r="G60" s="196">
        <f>IFERROR(MATCH(TRUE(),INDEX(C114:Z114&gt;=0,0),0),"Chưa hoàn vốn trong 24 tháng")</f>
        <v/>
      </c>
      <c r="H60" s="197">
        <f>RANK(D60,$D$58:$D$64,1)</f>
        <v/>
      </c>
    </row>
    <row r="61" ht="27.75" customHeight="1" s="112">
      <c r="A61" s="190" t="inlineStr">
        <is>
          <t>Chi phí có một khách tăng</t>
        </is>
      </c>
      <c r="B61" s="195">
        <f>'3_Giả định'!$C$10</f>
        <v/>
      </c>
      <c r="C61" s="195">
        <f>G84</f>
        <v/>
      </c>
      <c r="D61" s="195">
        <f>(B118+NPV($K$84/12,C118:Z118))/1000000</f>
        <v/>
      </c>
      <c r="E61" s="195">
        <f>D61-$D$57</f>
        <v/>
      </c>
      <c r="F61" s="196">
        <f>IFERROR(MATCH(TRUE(),INDEX(C119:Z119&lt;0,0),0),"Không hết tiền trong 24 tháng")</f>
        <v/>
      </c>
      <c r="G61" s="196">
        <f>IFERROR(MATCH(TRUE(),INDEX(C120:Z120&gt;=0,0),0),"Chưa hoàn vốn trong 24 tháng")</f>
        <v/>
      </c>
      <c r="H61" s="197">
        <f>RANK(D61,$D$58:$D$64,1)</f>
        <v/>
      </c>
    </row>
    <row r="62" ht="27.75" customHeight="1" s="112">
      <c r="A62" s="190" t="inlineStr">
        <is>
          <t>Khách mới tháng đầu giảm</t>
        </is>
      </c>
      <c r="B62" s="199">
        <f>'3_Giả định'!$C$7</f>
        <v/>
      </c>
      <c r="C62" s="199">
        <f>D85</f>
        <v/>
      </c>
      <c r="D62" s="195">
        <f>(B124+NPV($K$85/12,C124:Z124))/1000000</f>
        <v/>
      </c>
      <c r="E62" s="195">
        <f>D62-$D$57</f>
        <v/>
      </c>
      <c r="F62" s="196">
        <f>IFERROR(MATCH(TRUE(),INDEX(C125:Z125&lt;0,0),0),"Không hết tiền trong 24 tháng")</f>
        <v/>
      </c>
      <c r="G62" s="196">
        <f>IFERROR(MATCH(TRUE(),INDEX(C126:Z126&gt;=0,0),0),"Chưa hoàn vốn trong 24 tháng")</f>
        <v/>
      </c>
      <c r="H62" s="197">
        <f>RANK(D62,$D$58:$D$64,1)</f>
        <v/>
      </c>
    </row>
    <row r="63" ht="27.75" customHeight="1" s="112">
      <c r="A63" s="190" t="inlineStr">
        <is>
          <t>Tăng trưởng khách mới giảm</t>
        </is>
      </c>
      <c r="B63" s="198">
        <f>'3_Giả định'!$C$8</f>
        <v/>
      </c>
      <c r="C63" s="198">
        <f>E86</f>
        <v/>
      </c>
      <c r="D63" s="195">
        <f>(B130+NPV($K$86/12,C130:Z130))/1000000</f>
        <v/>
      </c>
      <c r="E63" s="195">
        <f>D63-$D$57</f>
        <v/>
      </c>
      <c r="F63" s="196">
        <f>IFERROR(MATCH(TRUE(),INDEX(C131:Z131&lt;0,0),0),"Không hết tiền trong 24 tháng")</f>
        <v/>
      </c>
      <c r="G63" s="196">
        <f>IFERROR(MATCH(TRUE(),INDEX(C132:Z132&gt;=0,0),0),"Chưa hoàn vốn trong 24 tháng")</f>
        <v/>
      </c>
      <c r="H63" s="197">
        <f>RANK(D63,$D$58:$D$64,1)</f>
        <v/>
      </c>
    </row>
    <row r="64" ht="27.75" customHeight="1" s="112">
      <c r="A64" s="190" t="inlineStr">
        <is>
          <t>Chi phí cố định tăng</t>
        </is>
      </c>
      <c r="B64" s="195">
        <f>'3_Giả định'!$C$11</f>
        <v/>
      </c>
      <c r="C64" s="195">
        <f>H87</f>
        <v/>
      </c>
      <c r="D64" s="195">
        <f>(B136+NPV($K$87/12,C136:Z136))/1000000</f>
        <v/>
      </c>
      <c r="E64" s="195">
        <f>D64-$D$57</f>
        <v/>
      </c>
      <c r="F64" s="196">
        <f>IFERROR(MATCH(TRUE(),INDEX(C137:Z137&lt;0,0),0),"Không hết tiền trong 24 tháng")</f>
        <v/>
      </c>
      <c r="G64" s="196">
        <f>IFERROR(MATCH(TRUE(),INDEX(C138:Z138&gt;=0,0),0),"Chưa hoàn vốn trong 24 tháng")</f>
        <v/>
      </c>
      <c r="H64" s="197">
        <f>RANK(D64,$D$58:$D$64,1)</f>
        <v/>
      </c>
    </row>
    <row r="66" ht="15" customHeight="1" s="112">
      <c r="A66" s="116" t="inlineStr">
        <is>
          <t>Biến nguy hiểm nhất</t>
        </is>
      </c>
      <c r="B66" s="200">
        <f>IF(MAX(D58:D64)-MIN(D58:D64)&lt;0.5,"Chưa đủ số liệu",INDEX(A58:A64,MATCH(MIN(D58:D64),D58:D64,0)))</f>
        <v/>
      </c>
    </row>
    <row r="68" ht="31.5" customHeight="1" s="112">
      <c r="A68" s="201" t="inlineStr">
        <is>
          <t>Tình huống: khách dùng nhiều bỏ đi, thay bằng khách thường</t>
        </is>
      </c>
      <c r="B68" s="194" t="inlineStr">
        <is>
          <t>—</t>
        </is>
      </c>
      <c r="C68" s="194" t="inlineStr">
        <is>
          <t>—</t>
        </is>
      </c>
      <c r="D68" s="195">
        <f>(B142+NPV($K$88/12,C142:Z142))/1000000</f>
        <v/>
      </c>
      <c r="E68" s="195">
        <f>D68-$D$57</f>
        <v/>
      </c>
      <c r="F68" s="196">
        <f>IFERROR(MATCH(TRUE(),INDEX(C143:Z143&lt;0,0),0),"Không hết tiền trong 24 tháng")</f>
        <v/>
      </c>
      <c r="G68" s="196">
        <f>IFERROR(MATCH(TRUE(),INDEX(C144:Z144&gt;=0,0),0),"Chưa hoàn vốn trong 24 tháng")</f>
        <v/>
      </c>
    </row>
    <row r="69" ht="15" customHeight="1" s="112">
      <c r="A69" s="162"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12">
      <c r="A70" s="188"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12">
      <c r="A71" s="125" t="inlineStr">
        <is>
          <t>Chỉ số</t>
        </is>
      </c>
      <c r="B71" s="125" t="inlineStr">
        <is>
          <t>Cơ sở hiện tại</t>
        </is>
      </c>
      <c r="C71" s="125" t="inlineStr">
        <is>
          <t>Mức hoà vốn (giá trị hiện tại ròng 24 tháng = 0)</t>
        </is>
      </c>
      <c r="D71" s="166" t="inlineStr">
        <is>
          <t>Còn cách (so với hiện tại)</t>
        </is>
      </c>
      <c r="E71" s="125" t="inlineStr">
        <is>
          <t>Cách dùng trong bảng theo dõi Ngày 23</t>
        </is>
      </c>
    </row>
    <row r="72" ht="15" customHeight="1" s="112">
      <c r="A72" s="132" t="inlineStr">
        <is>
          <t>Doanh thu bình quân / khách / tháng (VND)</t>
        </is>
      </c>
      <c r="B72" s="134">
        <f>'3_Giả định'!C17</f>
        <v/>
      </c>
      <c r="C72" s="136">
        <f>IFERROR(B72*(1-$B$54*$D$57/($D$57-$D$58)),"")</f>
        <v/>
      </c>
      <c r="D72" s="138">
        <f>IFERROR(C72/B72-1,"")</f>
        <v/>
      </c>
      <c r="E72" s="132" t="inlineStr">
        <is>
          <t>Dưới mức này là "nguy"</t>
        </is>
      </c>
      <c r="F72" s="202" t="n"/>
      <c r="G72" s="202" t="n"/>
      <c r="H72" s="203" t="n"/>
    </row>
    <row r="73" ht="15" customHeight="1" s="112">
      <c r="A73" s="132" t="inlineStr">
        <is>
          <t>Biên lợi nhuận gộp</t>
        </is>
      </c>
      <c r="B73" s="204">
        <f>'4_Chỉ số mỗi khách'!C7</f>
        <v/>
      </c>
      <c r="C73" s="175">
        <f>IFERROR(1-('3_Giả định'!C18*(1+$B$54*$D$57/($D$57-$D$59)))/'3_Giả định'!C17,"")</f>
        <v/>
      </c>
      <c r="D73" s="204">
        <f>IFERROR(C73-B73,"")</f>
        <v/>
      </c>
      <c r="E73" s="132" t="inlineStr">
        <is>
          <t>Dưới mức này là "nguy". Ngày 22 nói 60%: đây là con số của chính mô hình</t>
        </is>
      </c>
      <c r="F73" s="202" t="n"/>
      <c r="G73" s="202" t="n"/>
      <c r="H73" s="203" t="n"/>
    </row>
    <row r="74" ht="15" customHeight="1" s="112">
      <c r="A74" s="132" t="inlineStr">
        <is>
          <t>Chi phí có một khách tối đa (VND)</t>
        </is>
      </c>
      <c r="B74" s="134">
        <f>'3_Giả định'!C10</f>
        <v/>
      </c>
      <c r="C74" s="136">
        <f>IFERROR(B74*(1+$B$54*$D$57/($D$57-$D$61)),"")</f>
        <v/>
      </c>
      <c r="D74" s="138">
        <f>IFERROR(C74/B74-1,"")</f>
        <v/>
      </c>
      <c r="E74" s="137">
        <f>IFERROR("Trên mức này là 'nguy'. Tương ứng LTV ÷ CAC = "&amp;ROUND('4_Chỉ số mỗi khách'!C9/C74,1)&amp;", không phải 3","")</f>
        <v/>
      </c>
      <c r="F74" s="202" t="n"/>
      <c r="G74" s="202" t="n"/>
      <c r="H74" s="203" t="n"/>
    </row>
    <row r="75" ht="15" customHeight="1" s="112">
      <c r="A75" s="132" t="inlineStr">
        <is>
          <t>Khách mới tháng đầu tối thiểu</t>
        </is>
      </c>
      <c r="B75" s="205">
        <f>'3_Giả định'!C7</f>
        <v/>
      </c>
      <c r="C75" s="206">
        <f>IFERROR(B75*(1-$B$54*$D$57/($D$57-$D$62)),"")</f>
        <v/>
      </c>
      <c r="D75" s="138">
        <f>IFERROR(C75/B75-1,"")</f>
        <v/>
      </c>
      <c r="E75" s="132" t="inlineStr">
        <is>
          <t>Chỉ số báo sớm: số cửa hàng ký mới mỗi tháng</t>
        </is>
      </c>
      <c r="F75" s="202" t="n"/>
      <c r="G75" s="202" t="n"/>
      <c r="H75" s="203" t="n"/>
    </row>
    <row r="76" ht="15" customHeight="1" s="112">
      <c r="A76" s="132" t="inlineStr">
        <is>
          <t>Chi phí cố định tối đa / tháng (VND)</t>
        </is>
      </c>
      <c r="B76" s="134">
        <f>'3_Giả định'!C11</f>
        <v/>
      </c>
      <c r="C76" s="136">
        <f>IFERROR(B76*(1+$B$54*$D$57/($D$57-$D$64)),"")</f>
        <v/>
      </c>
      <c r="D76" s="138">
        <f>IFERROR(C76/B76-1,"")</f>
        <v/>
      </c>
      <c r="E76" s="132" t="inlineStr">
        <is>
          <t>Trần chi cho đội và văn phòng</t>
        </is>
      </c>
      <c r="F76" s="202" t="n"/>
      <c r="G76" s="202" t="n"/>
      <c r="H76" s="203" t="n"/>
    </row>
    <row r="77" ht="15" customHeight="1" s="112">
      <c r="A77" s="132" t="inlineStr">
        <is>
          <t>Tỷ lệ chia doanh thu cho đối tác tối đa</t>
        </is>
      </c>
      <c r="B77" s="204">
        <f>'2_Định giá'!B27</f>
        <v/>
      </c>
      <c r="C77" s="175">
        <f>IFERROR(1-C72/('2_Định giá'!D17*'3_Giả định'!C5),"")</f>
        <v/>
      </c>
      <c r="D77" s="204">
        <f>IFERROR(C77-B77,"")</f>
        <v/>
      </c>
      <c r="E77" s="132" t="inlineStr">
        <is>
          <t>Trần khi đàm phán với đối tác. Ngày 23 chỉ đòi biên sau chia trên 50%</t>
        </is>
      </c>
      <c r="F77" s="202" t="n"/>
      <c r="G77" s="202" t="n"/>
      <c r="H77" s="203" t="n"/>
    </row>
    <row r="78" ht="15" customHeight="1" s="112">
      <c r="A78" s="207" t="inlineStr">
        <is>
          <t>BẢNG TÍNH PHỤ CHO ĐỘ NHẠY — đã ẩn, không cần đọc</t>
        </is>
      </c>
    </row>
    <row r="79" hidden="1" outlineLevel="1" ht="15" customHeight="1" s="112">
      <c r="A79" s="207" t="inlineStr">
        <is>
          <t>Kịch bản</t>
        </is>
      </c>
      <c r="B79" s="207" t="inlineStr">
        <is>
          <t>Doanh thu bình quân</t>
        </is>
      </c>
      <c r="C79" s="207" t="inlineStr">
        <is>
          <t>Chi phí AI / khách</t>
        </is>
      </c>
      <c r="D79" s="207" t="inlineStr">
        <is>
          <t>Khách mới tháng 1</t>
        </is>
      </c>
      <c r="E79" s="207" t="inlineStr">
        <is>
          <t>Tăng trưởng</t>
        </is>
      </c>
      <c r="F79" s="207" t="inlineStr">
        <is>
          <t>Tỷ lệ rời bỏ</t>
        </is>
      </c>
      <c r="G79" s="207" t="inlineStr">
        <is>
          <t>Chi phí có khách</t>
        </is>
      </c>
      <c r="H79" s="207" t="inlineStr">
        <is>
          <t>Chi phí cố định</t>
        </is>
      </c>
      <c r="I79" s="207" t="inlineStr">
        <is>
          <t>Chi phí xây dựng</t>
        </is>
      </c>
      <c r="J79" s="207" t="inlineStr">
        <is>
          <t>Tiền mặt</t>
        </is>
      </c>
      <c r="K79" s="207" t="inlineStr">
        <is>
          <t>Lãi suất</t>
        </is>
      </c>
    </row>
    <row r="80" hidden="1" outlineLevel="1" ht="15" customHeight="1" s="112">
      <c r="A80" s="207" t="inlineStr">
        <is>
          <t>KB0 · Không đổi (cơ sở)</t>
        </is>
      </c>
      <c r="B80" s="208">
        <f>'3_Giả định'!$C$17</f>
        <v/>
      </c>
      <c r="C80" s="208">
        <f>'3_Giả định'!$C$18</f>
        <v/>
      </c>
      <c r="D80" s="209">
        <f>'3_Giả định'!$C$7</f>
        <v/>
      </c>
      <c r="E80" s="210">
        <f>'3_Giả định'!$C$8</f>
        <v/>
      </c>
      <c r="F80" s="210">
        <f>'3_Giả định'!$C$9</f>
        <v/>
      </c>
      <c r="G80" s="208">
        <f>'3_Giả định'!$C$10</f>
        <v/>
      </c>
      <c r="H80" s="208">
        <f>'3_Giả định'!$C$11</f>
        <v/>
      </c>
      <c r="I80" s="208">
        <f>'3_Giả định'!$C$12</f>
        <v/>
      </c>
      <c r="J80" s="208">
        <f>'3_Giả định'!$C$13</f>
        <v/>
      </c>
      <c r="K80" s="210">
        <f>'3_Giả định'!$C$14</f>
        <v/>
      </c>
    </row>
    <row r="81" hidden="1" outlineLevel="1" ht="15" customHeight="1" s="112">
      <c r="A81" s="207" t="inlineStr">
        <is>
          <t>KB1 · Doanh thu bình quân giảm</t>
        </is>
      </c>
      <c r="B81" s="208">
        <f>'3_Giả định'!$C$17*(1-$B$54)</f>
        <v/>
      </c>
      <c r="C81" s="208">
        <f>'3_Giả định'!$C$18</f>
        <v/>
      </c>
      <c r="D81" s="209">
        <f>'3_Giả định'!$C$7</f>
        <v/>
      </c>
      <c r="E81" s="210">
        <f>'3_Giả định'!$C$8</f>
        <v/>
      </c>
      <c r="F81" s="210">
        <f>'3_Giả định'!$C$9</f>
        <v/>
      </c>
      <c r="G81" s="208">
        <f>'3_Giả định'!$C$10</f>
        <v/>
      </c>
      <c r="H81" s="208">
        <f>'3_Giả định'!$C$11</f>
        <v/>
      </c>
      <c r="I81" s="208">
        <f>'3_Giả định'!$C$12</f>
        <v/>
      </c>
      <c r="J81" s="208">
        <f>'3_Giả định'!$C$13</f>
        <v/>
      </c>
      <c r="K81" s="210">
        <f>'3_Giả định'!$C$14</f>
        <v/>
      </c>
    </row>
    <row r="82" hidden="1" outlineLevel="1" ht="15" customHeight="1" s="112">
      <c r="A82" s="207" t="inlineStr">
        <is>
          <t>KB2 · Chi phí AI tăng</t>
        </is>
      </c>
      <c r="B82" s="208">
        <f>'3_Giả định'!$C$17</f>
        <v/>
      </c>
      <c r="C82" s="208">
        <f>'3_Giả định'!$C$18*(1+$B$54)</f>
        <v/>
      </c>
      <c r="D82" s="209">
        <f>'3_Giả định'!$C$7</f>
        <v/>
      </c>
      <c r="E82" s="210">
        <f>'3_Giả định'!$C$8</f>
        <v/>
      </c>
      <c r="F82" s="210">
        <f>'3_Giả định'!$C$9</f>
        <v/>
      </c>
      <c r="G82" s="208">
        <f>'3_Giả định'!$C$10</f>
        <v/>
      </c>
      <c r="H82" s="208">
        <f>'3_Giả định'!$C$11</f>
        <v/>
      </c>
      <c r="I82" s="208">
        <f>'3_Giả định'!$C$12</f>
        <v/>
      </c>
      <c r="J82" s="208">
        <f>'3_Giả định'!$C$13</f>
        <v/>
      </c>
      <c r="K82" s="210">
        <f>'3_Giả định'!$C$14</f>
        <v/>
      </c>
    </row>
    <row r="83" hidden="1" outlineLevel="1" ht="15" customHeight="1" s="112">
      <c r="A83" s="207" t="inlineStr">
        <is>
          <t>KB3 · Tỷ lệ rời bỏ tăng</t>
        </is>
      </c>
      <c r="B83" s="208">
        <f>'3_Giả định'!$C$17</f>
        <v/>
      </c>
      <c r="C83" s="208">
        <f>'3_Giả định'!$C$18</f>
        <v/>
      </c>
      <c r="D83" s="209">
        <f>'3_Giả định'!$C$7</f>
        <v/>
      </c>
      <c r="E83" s="210">
        <f>'3_Giả định'!$C$8</f>
        <v/>
      </c>
      <c r="F83" s="210">
        <f>'3_Giả định'!$C$9*(1+$B$54)</f>
        <v/>
      </c>
      <c r="G83" s="208">
        <f>'3_Giả định'!$C$10</f>
        <v/>
      </c>
      <c r="H83" s="208">
        <f>'3_Giả định'!$C$11</f>
        <v/>
      </c>
      <c r="I83" s="208">
        <f>'3_Giả định'!$C$12</f>
        <v/>
      </c>
      <c r="J83" s="208">
        <f>'3_Giả định'!$C$13</f>
        <v/>
      </c>
      <c r="K83" s="210">
        <f>'3_Giả định'!$C$14</f>
        <v/>
      </c>
    </row>
    <row r="84" hidden="1" outlineLevel="1" ht="15" customHeight="1" s="112">
      <c r="A84" s="207" t="inlineStr">
        <is>
          <t>KB4 · Chi phí có một khách tăng</t>
        </is>
      </c>
      <c r="B84" s="208">
        <f>'3_Giả định'!$C$17</f>
        <v/>
      </c>
      <c r="C84" s="208">
        <f>'3_Giả định'!$C$18</f>
        <v/>
      </c>
      <c r="D84" s="209">
        <f>'3_Giả định'!$C$7</f>
        <v/>
      </c>
      <c r="E84" s="210">
        <f>'3_Giả định'!$C$8</f>
        <v/>
      </c>
      <c r="F84" s="210">
        <f>'3_Giả định'!$C$9</f>
        <v/>
      </c>
      <c r="G84" s="208">
        <f>'3_Giả định'!$C$10*(1+$B$54)</f>
        <v/>
      </c>
      <c r="H84" s="208">
        <f>'3_Giả định'!$C$11</f>
        <v/>
      </c>
      <c r="I84" s="208">
        <f>'3_Giả định'!$C$12</f>
        <v/>
      </c>
      <c r="J84" s="208">
        <f>'3_Giả định'!$C$13</f>
        <v/>
      </c>
      <c r="K84" s="210">
        <f>'3_Giả định'!$C$14</f>
        <v/>
      </c>
    </row>
    <row r="85" hidden="1" outlineLevel="1" ht="15" customHeight="1" s="112">
      <c r="A85" s="207" t="inlineStr">
        <is>
          <t>KB5 · Khách mới tháng đầu giảm</t>
        </is>
      </c>
      <c r="B85" s="208">
        <f>'3_Giả định'!$C$17</f>
        <v/>
      </c>
      <c r="C85" s="208">
        <f>'3_Giả định'!$C$18</f>
        <v/>
      </c>
      <c r="D85" s="209">
        <f>'3_Giả định'!$C$7*(1-$B$54)</f>
        <v/>
      </c>
      <c r="E85" s="210">
        <f>'3_Giả định'!$C$8</f>
        <v/>
      </c>
      <c r="F85" s="210">
        <f>'3_Giả định'!$C$9</f>
        <v/>
      </c>
      <c r="G85" s="208">
        <f>'3_Giả định'!$C$10</f>
        <v/>
      </c>
      <c r="H85" s="208">
        <f>'3_Giả định'!$C$11</f>
        <v/>
      </c>
      <c r="I85" s="208">
        <f>'3_Giả định'!$C$12</f>
        <v/>
      </c>
      <c r="J85" s="208">
        <f>'3_Giả định'!$C$13</f>
        <v/>
      </c>
      <c r="K85" s="210">
        <f>'3_Giả định'!$C$14</f>
        <v/>
      </c>
    </row>
    <row r="86" hidden="1" outlineLevel="1" ht="15" customHeight="1" s="112">
      <c r="A86" s="207" t="inlineStr">
        <is>
          <t>KB6 · Tăng trưởng khách mới giảm</t>
        </is>
      </c>
      <c r="B86" s="208">
        <f>'3_Giả định'!$C$17</f>
        <v/>
      </c>
      <c r="C86" s="208">
        <f>'3_Giả định'!$C$18</f>
        <v/>
      </c>
      <c r="D86" s="209">
        <f>'3_Giả định'!$C$7</f>
        <v/>
      </c>
      <c r="E86" s="210">
        <f>'3_Giả định'!$C$8*(1-$B$54)</f>
        <v/>
      </c>
      <c r="F86" s="210">
        <f>'3_Giả định'!$C$9</f>
        <v/>
      </c>
      <c r="G86" s="208">
        <f>'3_Giả định'!$C$10</f>
        <v/>
      </c>
      <c r="H86" s="208">
        <f>'3_Giả định'!$C$11</f>
        <v/>
      </c>
      <c r="I86" s="208">
        <f>'3_Giả định'!$C$12</f>
        <v/>
      </c>
      <c r="J86" s="208">
        <f>'3_Giả định'!$C$13</f>
        <v/>
      </c>
      <c r="K86" s="210">
        <f>'3_Giả định'!$C$14</f>
        <v/>
      </c>
    </row>
    <row r="87" hidden="1" outlineLevel="1" ht="15" customHeight="1" s="112">
      <c r="A87" s="207" t="inlineStr">
        <is>
          <t>KB7 · Chi phí cố định tăng</t>
        </is>
      </c>
      <c r="B87" s="208">
        <f>'3_Giả định'!$C$17</f>
        <v/>
      </c>
      <c r="C87" s="208">
        <f>'3_Giả định'!$C$18</f>
        <v/>
      </c>
      <c r="D87" s="209">
        <f>'3_Giả định'!$C$7</f>
        <v/>
      </c>
      <c r="E87" s="210">
        <f>'3_Giả định'!$C$8</f>
        <v/>
      </c>
      <c r="F87" s="210">
        <f>'3_Giả định'!$C$9</f>
        <v/>
      </c>
      <c r="G87" s="208">
        <f>'3_Giả định'!$C$10</f>
        <v/>
      </c>
      <c r="H87" s="208">
        <f>'3_Giả định'!$C$11*(1+$B$54)</f>
        <v/>
      </c>
      <c r="I87" s="208">
        <f>'3_Giả định'!$C$12</f>
        <v/>
      </c>
      <c r="J87" s="208">
        <f>'3_Giả định'!$C$13</f>
        <v/>
      </c>
      <c r="K87" s="210">
        <f>'3_Giả định'!$C$14</f>
        <v/>
      </c>
    </row>
    <row r="88" hidden="1" outlineLevel="1" ht="15" customHeight="1" s="112">
      <c r="A88" s="207" t="inlineStr">
        <is>
          <t>KB8 · Tình huống: khách dùng nhiều bỏ đi, thay bằng khách thường</t>
        </is>
      </c>
      <c r="B88" s="208">
        <f>'2_Định giá'!$D$15*'3_Giả định'!$C$5*(1-'2_Định giá'!$B$27)</f>
        <v/>
      </c>
      <c r="C88" s="208">
        <f>'2_Định giá'!$E$15*'3_Giả định'!$C$6</f>
        <v/>
      </c>
      <c r="D88" s="209">
        <f>'3_Giả định'!$C$7</f>
        <v/>
      </c>
      <c r="E88" s="210">
        <f>'3_Giả định'!$C$8</f>
        <v/>
      </c>
      <c r="F88" s="210">
        <f>'3_Giả định'!$C$9</f>
        <v/>
      </c>
      <c r="G88" s="208">
        <f>'3_Giả định'!$C$10</f>
        <v/>
      </c>
      <c r="H88" s="208">
        <f>'3_Giả định'!$C$11</f>
        <v/>
      </c>
      <c r="I88" s="208">
        <f>'3_Giả định'!$C$12</f>
        <v/>
      </c>
      <c r="J88" s="208">
        <f>'3_Giả định'!$C$13</f>
        <v/>
      </c>
      <c r="K88" s="210">
        <f>'3_Giả định'!$C$14</f>
        <v/>
      </c>
    </row>
    <row r="89" hidden="1" outlineLevel="1" ht="15" customHeight="1" s="112"/>
    <row r="90" hidden="1" outlineLevel="1" ht="15" customHeight="1" s="112"/>
    <row r="91" hidden="1" outlineLevel="1" ht="15" customHeight="1" s="112"/>
    <row r="92" hidden="1" outlineLevel="1" ht="15" customHeight="1" s="112">
      <c r="A92" s="207" t="inlineStr">
        <is>
          <t>KB0 · Khách mới</t>
        </is>
      </c>
      <c r="C92" s="209">
        <f>$D$80*(1+$E$80)^0</f>
        <v/>
      </c>
      <c r="D92" s="209">
        <f>$D$80*(1+$E$80)^1</f>
        <v/>
      </c>
      <c r="E92" s="209">
        <f>$D$80*(1+$E$80)^2</f>
        <v/>
      </c>
      <c r="F92" s="209">
        <f>$D$80*(1+$E$80)^3</f>
        <v/>
      </c>
      <c r="G92" s="209">
        <f>$D$80*(1+$E$80)^4</f>
        <v/>
      </c>
      <c r="H92" s="209">
        <f>$D$80*(1+$E$80)^5</f>
        <v/>
      </c>
      <c r="I92" s="209">
        <f>$D$80*(1+$E$80)^6</f>
        <v/>
      </c>
      <c r="J92" s="209">
        <f>$D$80*(1+$E$80)^7</f>
        <v/>
      </c>
      <c r="K92" s="209">
        <f>$D$80*(1+$E$80)^8</f>
        <v/>
      </c>
      <c r="L92" s="209">
        <f>$D$80*(1+$E$80)^9</f>
        <v/>
      </c>
      <c r="M92" s="209">
        <f>$D$80*(1+$E$80)^10</f>
        <v/>
      </c>
      <c r="N92" s="209">
        <f>$D$80*(1+$E$80)^11</f>
        <v/>
      </c>
      <c r="O92" s="209">
        <f>$D$80*(1+$E$80)^12</f>
        <v/>
      </c>
      <c r="P92" s="209">
        <f>$D$80*(1+$E$80)^13</f>
        <v/>
      </c>
      <c r="Q92" s="209">
        <f>$D$80*(1+$E$80)^14</f>
        <v/>
      </c>
      <c r="R92" s="209">
        <f>$D$80*(1+$E$80)^15</f>
        <v/>
      </c>
      <c r="S92" s="209">
        <f>$D$80*(1+$E$80)^16</f>
        <v/>
      </c>
      <c r="T92" s="209">
        <f>$D$80*(1+$E$80)^17</f>
        <v/>
      </c>
      <c r="U92" s="209">
        <f>$D$80*(1+$E$80)^18</f>
        <v/>
      </c>
      <c r="V92" s="209">
        <f>$D$80*(1+$E$80)^19</f>
        <v/>
      </c>
      <c r="W92" s="209">
        <f>$D$80*(1+$E$80)^20</f>
        <v/>
      </c>
      <c r="X92" s="209">
        <f>$D$80*(1+$E$80)^21</f>
        <v/>
      </c>
      <c r="Y92" s="209">
        <f>$D$80*(1+$E$80)^22</f>
        <v/>
      </c>
      <c r="Z92" s="209">
        <f>$D$80*(1+$E$80)^23</f>
        <v/>
      </c>
    </row>
    <row r="93" hidden="1" outlineLevel="1" ht="15" customHeight="1" s="112">
      <c r="A93" s="207" t="inlineStr">
        <is>
          <t>KB0 · Khách đang dùng</t>
        </is>
      </c>
      <c r="B93" s="207" t="n">
        <v>0</v>
      </c>
      <c r="C93" s="209">
        <f>B93*(1-$F$80)+C92</f>
        <v/>
      </c>
      <c r="D93" s="209">
        <f>C93*(1-$F$80)+D92</f>
        <v/>
      </c>
      <c r="E93" s="209">
        <f>D93*(1-$F$80)+E92</f>
        <v/>
      </c>
      <c r="F93" s="209">
        <f>E93*(1-$F$80)+F92</f>
        <v/>
      </c>
      <c r="G93" s="209">
        <f>F93*(1-$F$80)+G92</f>
        <v/>
      </c>
      <c r="H93" s="209">
        <f>G93*(1-$F$80)+H92</f>
        <v/>
      </c>
      <c r="I93" s="209">
        <f>H93*(1-$F$80)+I92</f>
        <v/>
      </c>
      <c r="J93" s="209">
        <f>I93*(1-$F$80)+J92</f>
        <v/>
      </c>
      <c r="K93" s="209">
        <f>J93*(1-$F$80)+K92</f>
        <v/>
      </c>
      <c r="L93" s="209">
        <f>K93*(1-$F$80)+L92</f>
        <v/>
      </c>
      <c r="M93" s="209">
        <f>L93*(1-$F$80)+M92</f>
        <v/>
      </c>
      <c r="N93" s="209">
        <f>M93*(1-$F$80)+N92</f>
        <v/>
      </c>
      <c r="O93" s="209">
        <f>N93*(1-$F$80)+O92</f>
        <v/>
      </c>
      <c r="P93" s="209">
        <f>O93*(1-$F$80)+P92</f>
        <v/>
      </c>
      <c r="Q93" s="209">
        <f>P93*(1-$F$80)+Q92</f>
        <v/>
      </c>
      <c r="R93" s="209">
        <f>Q93*(1-$F$80)+R92</f>
        <v/>
      </c>
      <c r="S93" s="209">
        <f>R93*(1-$F$80)+S92</f>
        <v/>
      </c>
      <c r="T93" s="209">
        <f>S93*(1-$F$80)+T92</f>
        <v/>
      </c>
      <c r="U93" s="209">
        <f>T93*(1-$F$80)+U92</f>
        <v/>
      </c>
      <c r="V93" s="209">
        <f>U93*(1-$F$80)+V92</f>
        <v/>
      </c>
      <c r="W93" s="209">
        <f>V93*(1-$F$80)+W92</f>
        <v/>
      </c>
      <c r="X93" s="209">
        <f>W93*(1-$F$80)+X92</f>
        <v/>
      </c>
      <c r="Y93" s="209">
        <f>X93*(1-$F$80)+Y92</f>
        <v/>
      </c>
      <c r="Z93" s="209">
        <f>Y93*(1-$F$80)+Z92</f>
        <v/>
      </c>
    </row>
    <row r="94" hidden="1" outlineLevel="1" ht="15" customHeight="1" s="112">
      <c r="A94" s="207" t="inlineStr">
        <is>
          <t>KB0 · Dòng tiền ròng</t>
        </is>
      </c>
      <c r="B94" s="208">
        <f>-$I$80</f>
        <v/>
      </c>
      <c r="C94" s="208">
        <f>C93*($B$80-$C$80)-C92*$G$80-$H$80</f>
        <v/>
      </c>
      <c r="D94" s="208">
        <f>D93*($B$80-$C$80)-D92*$G$80-$H$80</f>
        <v/>
      </c>
      <c r="E94" s="208">
        <f>E93*($B$80-$C$80)-E92*$G$80-$H$80</f>
        <v/>
      </c>
      <c r="F94" s="208">
        <f>F93*($B$80-$C$80)-F92*$G$80-$H$80</f>
        <v/>
      </c>
      <c r="G94" s="208">
        <f>G93*($B$80-$C$80)-G92*$G$80-$H$80</f>
        <v/>
      </c>
      <c r="H94" s="208">
        <f>H93*($B$80-$C$80)-H92*$G$80-$H$80</f>
        <v/>
      </c>
      <c r="I94" s="208">
        <f>I93*($B$80-$C$80)-I92*$G$80-$H$80</f>
        <v/>
      </c>
      <c r="J94" s="208">
        <f>J93*($B$80-$C$80)-J92*$G$80-$H$80</f>
        <v/>
      </c>
      <c r="K94" s="208">
        <f>K93*($B$80-$C$80)-K92*$G$80-$H$80</f>
        <v/>
      </c>
      <c r="L94" s="208">
        <f>L93*($B$80-$C$80)-L92*$G$80-$H$80</f>
        <v/>
      </c>
      <c r="M94" s="208">
        <f>M93*($B$80-$C$80)-M92*$G$80-$H$80</f>
        <v/>
      </c>
      <c r="N94" s="208">
        <f>N93*($B$80-$C$80)-N92*$G$80-$H$80</f>
        <v/>
      </c>
      <c r="O94" s="208">
        <f>O93*($B$80-$C$80)-O92*$G$80-$H$80</f>
        <v/>
      </c>
      <c r="P94" s="208">
        <f>P93*($B$80-$C$80)-P92*$G$80-$H$80</f>
        <v/>
      </c>
      <c r="Q94" s="208">
        <f>Q93*($B$80-$C$80)-Q92*$G$80-$H$80</f>
        <v/>
      </c>
      <c r="R94" s="208">
        <f>R93*($B$80-$C$80)-R92*$G$80-$H$80</f>
        <v/>
      </c>
      <c r="S94" s="208">
        <f>S93*($B$80-$C$80)-S92*$G$80-$H$80</f>
        <v/>
      </c>
      <c r="T94" s="208">
        <f>T93*($B$80-$C$80)-T92*$G$80-$H$80</f>
        <v/>
      </c>
      <c r="U94" s="208">
        <f>U93*($B$80-$C$80)-U92*$G$80-$H$80</f>
        <v/>
      </c>
      <c r="V94" s="208">
        <f>V93*($B$80-$C$80)-V92*$G$80-$H$80</f>
        <v/>
      </c>
      <c r="W94" s="208">
        <f>W93*($B$80-$C$80)-W92*$G$80-$H$80</f>
        <v/>
      </c>
      <c r="X94" s="208">
        <f>X93*($B$80-$C$80)-X92*$G$80-$H$80</f>
        <v/>
      </c>
      <c r="Y94" s="208">
        <f>Y93*($B$80-$C$80)-Y92*$G$80-$H$80</f>
        <v/>
      </c>
      <c r="Z94" s="208">
        <f>Z93*($B$80-$C$80)-Z92*$G$80-$H$80</f>
        <v/>
      </c>
    </row>
    <row r="95" hidden="1" outlineLevel="1" ht="15" customHeight="1" s="112">
      <c r="A95" s="207" t="inlineStr">
        <is>
          <t>KB0 · Tiền mặt cuối kỳ</t>
        </is>
      </c>
      <c r="B95" s="208">
        <f>$J$80+B94</f>
        <v/>
      </c>
      <c r="C95" s="208">
        <f>B95+C94</f>
        <v/>
      </c>
      <c r="D95" s="208">
        <f>C95+D94</f>
        <v/>
      </c>
      <c r="E95" s="208">
        <f>D95+E94</f>
        <v/>
      </c>
      <c r="F95" s="208">
        <f>E95+F94</f>
        <v/>
      </c>
      <c r="G95" s="208">
        <f>F95+G94</f>
        <v/>
      </c>
      <c r="H95" s="208">
        <f>G95+H94</f>
        <v/>
      </c>
      <c r="I95" s="208">
        <f>H95+I94</f>
        <v/>
      </c>
      <c r="J95" s="208">
        <f>I95+J94</f>
        <v/>
      </c>
      <c r="K95" s="208">
        <f>J95+K94</f>
        <v/>
      </c>
      <c r="L95" s="208">
        <f>K95+L94</f>
        <v/>
      </c>
      <c r="M95" s="208">
        <f>L95+M94</f>
        <v/>
      </c>
      <c r="N95" s="208">
        <f>M95+N94</f>
        <v/>
      </c>
      <c r="O95" s="208">
        <f>N95+O94</f>
        <v/>
      </c>
      <c r="P95" s="208">
        <f>O95+P94</f>
        <v/>
      </c>
      <c r="Q95" s="208">
        <f>P95+Q94</f>
        <v/>
      </c>
      <c r="R95" s="208">
        <f>Q95+R94</f>
        <v/>
      </c>
      <c r="S95" s="208">
        <f>R95+S94</f>
        <v/>
      </c>
      <c r="T95" s="208">
        <f>S95+T94</f>
        <v/>
      </c>
      <c r="U95" s="208">
        <f>T95+U94</f>
        <v/>
      </c>
      <c r="V95" s="208">
        <f>U95+V94</f>
        <v/>
      </c>
      <c r="W95" s="208">
        <f>V95+W94</f>
        <v/>
      </c>
      <c r="X95" s="208">
        <f>W95+X94</f>
        <v/>
      </c>
      <c r="Y95" s="208">
        <f>X95+Y94</f>
        <v/>
      </c>
      <c r="Z95" s="208">
        <f>Y95+Z94</f>
        <v/>
      </c>
    </row>
    <row r="96" hidden="1" outlineLevel="1" ht="15" customHeight="1" s="112">
      <c r="A96" s="207" t="inlineStr">
        <is>
          <t>KB0 · Dòng tiền lũy kế</t>
        </is>
      </c>
      <c r="B96" s="208">
        <f>B94</f>
        <v/>
      </c>
      <c r="C96" s="208">
        <f>B96+C94</f>
        <v/>
      </c>
      <c r="D96" s="208">
        <f>C96+D94</f>
        <v/>
      </c>
      <c r="E96" s="208">
        <f>D96+E94</f>
        <v/>
      </c>
      <c r="F96" s="208">
        <f>E96+F94</f>
        <v/>
      </c>
      <c r="G96" s="208">
        <f>F96+G94</f>
        <v/>
      </c>
      <c r="H96" s="208">
        <f>G96+H94</f>
        <v/>
      </c>
      <c r="I96" s="208">
        <f>H96+I94</f>
        <v/>
      </c>
      <c r="J96" s="208">
        <f>I96+J94</f>
        <v/>
      </c>
      <c r="K96" s="208">
        <f>J96+K94</f>
        <v/>
      </c>
      <c r="L96" s="208">
        <f>K96+L94</f>
        <v/>
      </c>
      <c r="M96" s="208">
        <f>L96+M94</f>
        <v/>
      </c>
      <c r="N96" s="208">
        <f>M96+N94</f>
        <v/>
      </c>
      <c r="O96" s="208">
        <f>N96+O94</f>
        <v/>
      </c>
      <c r="P96" s="208">
        <f>O96+P94</f>
        <v/>
      </c>
      <c r="Q96" s="208">
        <f>P96+Q94</f>
        <v/>
      </c>
      <c r="R96" s="208">
        <f>Q96+R94</f>
        <v/>
      </c>
      <c r="S96" s="208">
        <f>R96+S94</f>
        <v/>
      </c>
      <c r="T96" s="208">
        <f>S96+T94</f>
        <v/>
      </c>
      <c r="U96" s="208">
        <f>T96+U94</f>
        <v/>
      </c>
      <c r="V96" s="208">
        <f>U96+V94</f>
        <v/>
      </c>
      <c r="W96" s="208">
        <f>V96+W94</f>
        <v/>
      </c>
      <c r="X96" s="208">
        <f>W96+X94</f>
        <v/>
      </c>
      <c r="Y96" s="208">
        <f>X96+Y94</f>
        <v/>
      </c>
      <c r="Z96" s="208">
        <f>Y96+Z94</f>
        <v/>
      </c>
    </row>
    <row r="97" hidden="1" outlineLevel="1" ht="15" customHeight="1" s="112"/>
    <row r="98" hidden="1" outlineLevel="1" ht="15" customHeight="1" s="112">
      <c r="A98" s="207" t="inlineStr">
        <is>
          <t>KB1 · Khách mới</t>
        </is>
      </c>
      <c r="C98" s="209">
        <f>$D$81*(1+$E$81)^0</f>
        <v/>
      </c>
      <c r="D98" s="209">
        <f>$D$81*(1+$E$81)^1</f>
        <v/>
      </c>
      <c r="E98" s="209">
        <f>$D$81*(1+$E$81)^2</f>
        <v/>
      </c>
      <c r="F98" s="209">
        <f>$D$81*(1+$E$81)^3</f>
        <v/>
      </c>
      <c r="G98" s="209">
        <f>$D$81*(1+$E$81)^4</f>
        <v/>
      </c>
      <c r="H98" s="209">
        <f>$D$81*(1+$E$81)^5</f>
        <v/>
      </c>
      <c r="I98" s="209">
        <f>$D$81*(1+$E$81)^6</f>
        <v/>
      </c>
      <c r="J98" s="209">
        <f>$D$81*(1+$E$81)^7</f>
        <v/>
      </c>
      <c r="K98" s="209">
        <f>$D$81*(1+$E$81)^8</f>
        <v/>
      </c>
      <c r="L98" s="209">
        <f>$D$81*(1+$E$81)^9</f>
        <v/>
      </c>
      <c r="M98" s="209">
        <f>$D$81*(1+$E$81)^10</f>
        <v/>
      </c>
      <c r="N98" s="209">
        <f>$D$81*(1+$E$81)^11</f>
        <v/>
      </c>
      <c r="O98" s="209">
        <f>$D$81*(1+$E$81)^12</f>
        <v/>
      </c>
      <c r="P98" s="209">
        <f>$D$81*(1+$E$81)^13</f>
        <v/>
      </c>
      <c r="Q98" s="209">
        <f>$D$81*(1+$E$81)^14</f>
        <v/>
      </c>
      <c r="R98" s="209">
        <f>$D$81*(1+$E$81)^15</f>
        <v/>
      </c>
      <c r="S98" s="209">
        <f>$D$81*(1+$E$81)^16</f>
        <v/>
      </c>
      <c r="T98" s="209">
        <f>$D$81*(1+$E$81)^17</f>
        <v/>
      </c>
      <c r="U98" s="209">
        <f>$D$81*(1+$E$81)^18</f>
        <v/>
      </c>
      <c r="V98" s="209">
        <f>$D$81*(1+$E$81)^19</f>
        <v/>
      </c>
      <c r="W98" s="209">
        <f>$D$81*(1+$E$81)^20</f>
        <v/>
      </c>
      <c r="X98" s="209">
        <f>$D$81*(1+$E$81)^21</f>
        <v/>
      </c>
      <c r="Y98" s="209">
        <f>$D$81*(1+$E$81)^22</f>
        <v/>
      </c>
      <c r="Z98" s="209">
        <f>$D$81*(1+$E$81)^23</f>
        <v/>
      </c>
    </row>
    <row r="99" hidden="1" outlineLevel="1" ht="15" customHeight="1" s="112">
      <c r="A99" s="207" t="inlineStr">
        <is>
          <t>KB1 · Khách đang dùng</t>
        </is>
      </c>
      <c r="B99" s="207" t="n">
        <v>0</v>
      </c>
      <c r="C99" s="209">
        <f>B99*(1-$F$81)+C98</f>
        <v/>
      </c>
      <c r="D99" s="209">
        <f>C99*(1-$F$81)+D98</f>
        <v/>
      </c>
      <c r="E99" s="209">
        <f>D99*(1-$F$81)+E98</f>
        <v/>
      </c>
      <c r="F99" s="209">
        <f>E99*(1-$F$81)+F98</f>
        <v/>
      </c>
      <c r="G99" s="209">
        <f>F99*(1-$F$81)+G98</f>
        <v/>
      </c>
      <c r="H99" s="209">
        <f>G99*(1-$F$81)+H98</f>
        <v/>
      </c>
      <c r="I99" s="209">
        <f>H99*(1-$F$81)+I98</f>
        <v/>
      </c>
      <c r="J99" s="209">
        <f>I99*(1-$F$81)+J98</f>
        <v/>
      </c>
      <c r="K99" s="209">
        <f>J99*(1-$F$81)+K98</f>
        <v/>
      </c>
      <c r="L99" s="209">
        <f>K99*(1-$F$81)+L98</f>
        <v/>
      </c>
      <c r="M99" s="209">
        <f>L99*(1-$F$81)+M98</f>
        <v/>
      </c>
      <c r="N99" s="209">
        <f>M99*(1-$F$81)+N98</f>
        <v/>
      </c>
      <c r="O99" s="209">
        <f>N99*(1-$F$81)+O98</f>
        <v/>
      </c>
      <c r="P99" s="209">
        <f>O99*(1-$F$81)+P98</f>
        <v/>
      </c>
      <c r="Q99" s="209">
        <f>P99*(1-$F$81)+Q98</f>
        <v/>
      </c>
      <c r="R99" s="209">
        <f>Q99*(1-$F$81)+R98</f>
        <v/>
      </c>
      <c r="S99" s="209">
        <f>R99*(1-$F$81)+S98</f>
        <v/>
      </c>
      <c r="T99" s="209">
        <f>S99*(1-$F$81)+T98</f>
        <v/>
      </c>
      <c r="U99" s="209">
        <f>T99*(1-$F$81)+U98</f>
        <v/>
      </c>
      <c r="V99" s="209">
        <f>U99*(1-$F$81)+V98</f>
        <v/>
      </c>
      <c r="W99" s="209">
        <f>V99*(1-$F$81)+W98</f>
        <v/>
      </c>
      <c r="X99" s="209">
        <f>W99*(1-$F$81)+X98</f>
        <v/>
      </c>
      <c r="Y99" s="209">
        <f>X99*(1-$F$81)+Y98</f>
        <v/>
      </c>
      <c r="Z99" s="209">
        <f>Y99*(1-$F$81)+Z98</f>
        <v/>
      </c>
    </row>
    <row r="100" hidden="1" outlineLevel="1" ht="15" customHeight="1" s="112">
      <c r="A100" s="207" t="inlineStr">
        <is>
          <t>KB1 · Dòng tiền ròng</t>
        </is>
      </c>
      <c r="B100" s="208">
        <f>-$I$81</f>
        <v/>
      </c>
      <c r="C100" s="208">
        <f>C99*($B$81-$C$81)-C98*$G$81-$H$81</f>
        <v/>
      </c>
      <c r="D100" s="208">
        <f>D99*($B$81-$C$81)-D98*$G$81-$H$81</f>
        <v/>
      </c>
      <c r="E100" s="208">
        <f>E99*($B$81-$C$81)-E98*$G$81-$H$81</f>
        <v/>
      </c>
      <c r="F100" s="208">
        <f>F99*($B$81-$C$81)-F98*$G$81-$H$81</f>
        <v/>
      </c>
      <c r="G100" s="208">
        <f>G99*($B$81-$C$81)-G98*$G$81-$H$81</f>
        <v/>
      </c>
      <c r="H100" s="208">
        <f>H99*($B$81-$C$81)-H98*$G$81-$H$81</f>
        <v/>
      </c>
      <c r="I100" s="208">
        <f>I99*($B$81-$C$81)-I98*$G$81-$H$81</f>
        <v/>
      </c>
      <c r="J100" s="208">
        <f>J99*($B$81-$C$81)-J98*$G$81-$H$81</f>
        <v/>
      </c>
      <c r="K100" s="208">
        <f>K99*($B$81-$C$81)-K98*$G$81-$H$81</f>
        <v/>
      </c>
      <c r="L100" s="208">
        <f>L99*($B$81-$C$81)-L98*$G$81-$H$81</f>
        <v/>
      </c>
      <c r="M100" s="208">
        <f>M99*($B$81-$C$81)-M98*$G$81-$H$81</f>
        <v/>
      </c>
      <c r="N100" s="208">
        <f>N99*($B$81-$C$81)-N98*$G$81-$H$81</f>
        <v/>
      </c>
      <c r="O100" s="208">
        <f>O99*($B$81-$C$81)-O98*$G$81-$H$81</f>
        <v/>
      </c>
      <c r="P100" s="208">
        <f>P99*($B$81-$C$81)-P98*$G$81-$H$81</f>
        <v/>
      </c>
      <c r="Q100" s="208">
        <f>Q99*($B$81-$C$81)-Q98*$G$81-$H$81</f>
        <v/>
      </c>
      <c r="R100" s="208">
        <f>R99*($B$81-$C$81)-R98*$G$81-$H$81</f>
        <v/>
      </c>
      <c r="S100" s="208">
        <f>S99*($B$81-$C$81)-S98*$G$81-$H$81</f>
        <v/>
      </c>
      <c r="T100" s="208">
        <f>T99*($B$81-$C$81)-T98*$G$81-$H$81</f>
        <v/>
      </c>
      <c r="U100" s="208">
        <f>U99*($B$81-$C$81)-U98*$G$81-$H$81</f>
        <v/>
      </c>
      <c r="V100" s="208">
        <f>V99*($B$81-$C$81)-V98*$G$81-$H$81</f>
        <v/>
      </c>
      <c r="W100" s="208">
        <f>W99*($B$81-$C$81)-W98*$G$81-$H$81</f>
        <v/>
      </c>
      <c r="X100" s="208">
        <f>X99*($B$81-$C$81)-X98*$G$81-$H$81</f>
        <v/>
      </c>
      <c r="Y100" s="208">
        <f>Y99*($B$81-$C$81)-Y98*$G$81-$H$81</f>
        <v/>
      </c>
      <c r="Z100" s="208">
        <f>Z99*($B$81-$C$81)-Z98*$G$81-$H$81</f>
        <v/>
      </c>
    </row>
    <row r="101" hidden="1" outlineLevel="1" ht="15" customHeight="1" s="112">
      <c r="A101" s="207" t="inlineStr">
        <is>
          <t>KB1 · Tiền mặt cuối kỳ</t>
        </is>
      </c>
      <c r="B101" s="208">
        <f>$J$81+B100</f>
        <v/>
      </c>
      <c r="C101" s="208">
        <f>B101+C100</f>
        <v/>
      </c>
      <c r="D101" s="208">
        <f>C101+D100</f>
        <v/>
      </c>
      <c r="E101" s="208">
        <f>D101+E100</f>
        <v/>
      </c>
      <c r="F101" s="208">
        <f>E101+F100</f>
        <v/>
      </c>
      <c r="G101" s="208">
        <f>F101+G100</f>
        <v/>
      </c>
      <c r="H101" s="208">
        <f>G101+H100</f>
        <v/>
      </c>
      <c r="I101" s="208">
        <f>H101+I100</f>
        <v/>
      </c>
      <c r="J101" s="208">
        <f>I101+J100</f>
        <v/>
      </c>
      <c r="K101" s="208">
        <f>J101+K100</f>
        <v/>
      </c>
      <c r="L101" s="208">
        <f>K101+L100</f>
        <v/>
      </c>
      <c r="M101" s="208">
        <f>L101+M100</f>
        <v/>
      </c>
      <c r="N101" s="208">
        <f>M101+N100</f>
        <v/>
      </c>
      <c r="O101" s="208">
        <f>N101+O100</f>
        <v/>
      </c>
      <c r="P101" s="208">
        <f>O101+P100</f>
        <v/>
      </c>
      <c r="Q101" s="208">
        <f>P101+Q100</f>
        <v/>
      </c>
      <c r="R101" s="208">
        <f>Q101+R100</f>
        <v/>
      </c>
      <c r="S101" s="208">
        <f>R101+S100</f>
        <v/>
      </c>
      <c r="T101" s="208">
        <f>S101+T100</f>
        <v/>
      </c>
      <c r="U101" s="208">
        <f>T101+U100</f>
        <v/>
      </c>
      <c r="V101" s="208">
        <f>U101+V100</f>
        <v/>
      </c>
      <c r="W101" s="208">
        <f>V101+W100</f>
        <v/>
      </c>
      <c r="X101" s="208">
        <f>W101+X100</f>
        <v/>
      </c>
      <c r="Y101" s="208">
        <f>X101+Y100</f>
        <v/>
      </c>
      <c r="Z101" s="208">
        <f>Y101+Z100</f>
        <v/>
      </c>
    </row>
    <row r="102" hidden="1" outlineLevel="1" ht="15" customHeight="1" s="112">
      <c r="A102" s="207" t="inlineStr">
        <is>
          <t>KB1 · Dòng tiền lũy kế</t>
        </is>
      </c>
      <c r="B102" s="208">
        <f>B100</f>
        <v/>
      </c>
      <c r="C102" s="208">
        <f>B102+C100</f>
        <v/>
      </c>
      <c r="D102" s="208">
        <f>C102+D100</f>
        <v/>
      </c>
      <c r="E102" s="208">
        <f>D102+E100</f>
        <v/>
      </c>
      <c r="F102" s="208">
        <f>E102+F100</f>
        <v/>
      </c>
      <c r="G102" s="208">
        <f>F102+G100</f>
        <v/>
      </c>
      <c r="H102" s="208">
        <f>G102+H100</f>
        <v/>
      </c>
      <c r="I102" s="208">
        <f>H102+I100</f>
        <v/>
      </c>
      <c r="J102" s="208">
        <f>I102+J100</f>
        <v/>
      </c>
      <c r="K102" s="208">
        <f>J102+K100</f>
        <v/>
      </c>
      <c r="L102" s="208">
        <f>K102+L100</f>
        <v/>
      </c>
      <c r="M102" s="208">
        <f>L102+M100</f>
        <v/>
      </c>
      <c r="N102" s="208">
        <f>M102+N100</f>
        <v/>
      </c>
      <c r="O102" s="208">
        <f>N102+O100</f>
        <v/>
      </c>
      <c r="P102" s="208">
        <f>O102+P100</f>
        <v/>
      </c>
      <c r="Q102" s="208">
        <f>P102+Q100</f>
        <v/>
      </c>
      <c r="R102" s="208">
        <f>Q102+R100</f>
        <v/>
      </c>
      <c r="S102" s="208">
        <f>R102+S100</f>
        <v/>
      </c>
      <c r="T102" s="208">
        <f>S102+T100</f>
        <v/>
      </c>
      <c r="U102" s="208">
        <f>T102+U100</f>
        <v/>
      </c>
      <c r="V102" s="208">
        <f>U102+V100</f>
        <v/>
      </c>
      <c r="W102" s="208">
        <f>V102+W100</f>
        <v/>
      </c>
      <c r="X102" s="208">
        <f>W102+X100</f>
        <v/>
      </c>
      <c r="Y102" s="208">
        <f>X102+Y100</f>
        <v/>
      </c>
      <c r="Z102" s="208">
        <f>Y102+Z100</f>
        <v/>
      </c>
    </row>
    <row r="103" hidden="1" outlineLevel="1" ht="15" customHeight="1" s="112"/>
    <row r="104" hidden="1" outlineLevel="1" ht="15" customHeight="1" s="112">
      <c r="A104" s="207" t="inlineStr">
        <is>
          <t>KB2 · Khách mới</t>
        </is>
      </c>
      <c r="C104" s="209">
        <f>$D$82*(1+$E$82)^0</f>
        <v/>
      </c>
      <c r="D104" s="209">
        <f>$D$82*(1+$E$82)^1</f>
        <v/>
      </c>
      <c r="E104" s="209">
        <f>$D$82*(1+$E$82)^2</f>
        <v/>
      </c>
      <c r="F104" s="209">
        <f>$D$82*(1+$E$82)^3</f>
        <v/>
      </c>
      <c r="G104" s="209">
        <f>$D$82*(1+$E$82)^4</f>
        <v/>
      </c>
      <c r="H104" s="209">
        <f>$D$82*(1+$E$82)^5</f>
        <v/>
      </c>
      <c r="I104" s="209">
        <f>$D$82*(1+$E$82)^6</f>
        <v/>
      </c>
      <c r="J104" s="209">
        <f>$D$82*(1+$E$82)^7</f>
        <v/>
      </c>
      <c r="K104" s="209">
        <f>$D$82*(1+$E$82)^8</f>
        <v/>
      </c>
      <c r="L104" s="209">
        <f>$D$82*(1+$E$82)^9</f>
        <v/>
      </c>
      <c r="M104" s="209">
        <f>$D$82*(1+$E$82)^10</f>
        <v/>
      </c>
      <c r="N104" s="209">
        <f>$D$82*(1+$E$82)^11</f>
        <v/>
      </c>
      <c r="O104" s="209">
        <f>$D$82*(1+$E$82)^12</f>
        <v/>
      </c>
      <c r="P104" s="209">
        <f>$D$82*(1+$E$82)^13</f>
        <v/>
      </c>
      <c r="Q104" s="209">
        <f>$D$82*(1+$E$82)^14</f>
        <v/>
      </c>
      <c r="R104" s="209">
        <f>$D$82*(1+$E$82)^15</f>
        <v/>
      </c>
      <c r="S104" s="209">
        <f>$D$82*(1+$E$82)^16</f>
        <v/>
      </c>
      <c r="T104" s="209">
        <f>$D$82*(1+$E$82)^17</f>
        <v/>
      </c>
      <c r="U104" s="209">
        <f>$D$82*(1+$E$82)^18</f>
        <v/>
      </c>
      <c r="V104" s="209">
        <f>$D$82*(1+$E$82)^19</f>
        <v/>
      </c>
      <c r="W104" s="209">
        <f>$D$82*(1+$E$82)^20</f>
        <v/>
      </c>
      <c r="X104" s="209">
        <f>$D$82*(1+$E$82)^21</f>
        <v/>
      </c>
      <c r="Y104" s="209">
        <f>$D$82*(1+$E$82)^22</f>
        <v/>
      </c>
      <c r="Z104" s="209">
        <f>$D$82*(1+$E$82)^23</f>
        <v/>
      </c>
    </row>
    <row r="105" hidden="1" outlineLevel="1" ht="15" customHeight="1" s="112">
      <c r="A105" s="207" t="inlineStr">
        <is>
          <t>KB2 · Khách đang dùng</t>
        </is>
      </c>
      <c r="B105" s="207" t="n">
        <v>0</v>
      </c>
      <c r="C105" s="209">
        <f>B105*(1-$F$82)+C104</f>
        <v/>
      </c>
      <c r="D105" s="209">
        <f>C105*(1-$F$82)+D104</f>
        <v/>
      </c>
      <c r="E105" s="209">
        <f>D105*(1-$F$82)+E104</f>
        <v/>
      </c>
      <c r="F105" s="209">
        <f>E105*(1-$F$82)+F104</f>
        <v/>
      </c>
      <c r="G105" s="209">
        <f>F105*(1-$F$82)+G104</f>
        <v/>
      </c>
      <c r="H105" s="209">
        <f>G105*(1-$F$82)+H104</f>
        <v/>
      </c>
      <c r="I105" s="209">
        <f>H105*(1-$F$82)+I104</f>
        <v/>
      </c>
      <c r="J105" s="209">
        <f>I105*(1-$F$82)+J104</f>
        <v/>
      </c>
      <c r="K105" s="209">
        <f>J105*(1-$F$82)+K104</f>
        <v/>
      </c>
      <c r="L105" s="209">
        <f>K105*(1-$F$82)+L104</f>
        <v/>
      </c>
      <c r="M105" s="209">
        <f>L105*(1-$F$82)+M104</f>
        <v/>
      </c>
      <c r="N105" s="209">
        <f>M105*(1-$F$82)+N104</f>
        <v/>
      </c>
      <c r="O105" s="209">
        <f>N105*(1-$F$82)+O104</f>
        <v/>
      </c>
      <c r="P105" s="209">
        <f>O105*(1-$F$82)+P104</f>
        <v/>
      </c>
      <c r="Q105" s="209">
        <f>P105*(1-$F$82)+Q104</f>
        <v/>
      </c>
      <c r="R105" s="209">
        <f>Q105*(1-$F$82)+R104</f>
        <v/>
      </c>
      <c r="S105" s="209">
        <f>R105*(1-$F$82)+S104</f>
        <v/>
      </c>
      <c r="T105" s="209">
        <f>S105*(1-$F$82)+T104</f>
        <v/>
      </c>
      <c r="U105" s="209">
        <f>T105*(1-$F$82)+U104</f>
        <v/>
      </c>
      <c r="V105" s="209">
        <f>U105*(1-$F$82)+V104</f>
        <v/>
      </c>
      <c r="W105" s="209">
        <f>V105*(1-$F$82)+W104</f>
        <v/>
      </c>
      <c r="X105" s="209">
        <f>W105*(1-$F$82)+X104</f>
        <v/>
      </c>
      <c r="Y105" s="209">
        <f>X105*(1-$F$82)+Y104</f>
        <v/>
      </c>
      <c r="Z105" s="209">
        <f>Y105*(1-$F$82)+Z104</f>
        <v/>
      </c>
    </row>
    <row r="106" hidden="1" outlineLevel="1" ht="15" customHeight="1" s="112">
      <c r="A106" s="207" t="inlineStr">
        <is>
          <t>KB2 · Dòng tiền ròng</t>
        </is>
      </c>
      <c r="B106" s="208">
        <f>-$I$82</f>
        <v/>
      </c>
      <c r="C106" s="208">
        <f>C105*($B$82-$C$82)-C104*$G$82-$H$82</f>
        <v/>
      </c>
      <c r="D106" s="208">
        <f>D105*($B$82-$C$82)-D104*$G$82-$H$82</f>
        <v/>
      </c>
      <c r="E106" s="208">
        <f>E105*($B$82-$C$82)-E104*$G$82-$H$82</f>
        <v/>
      </c>
      <c r="F106" s="208">
        <f>F105*($B$82-$C$82)-F104*$G$82-$H$82</f>
        <v/>
      </c>
      <c r="G106" s="208">
        <f>G105*($B$82-$C$82)-G104*$G$82-$H$82</f>
        <v/>
      </c>
      <c r="H106" s="208">
        <f>H105*($B$82-$C$82)-H104*$G$82-$H$82</f>
        <v/>
      </c>
      <c r="I106" s="208">
        <f>I105*($B$82-$C$82)-I104*$G$82-$H$82</f>
        <v/>
      </c>
      <c r="J106" s="208">
        <f>J105*($B$82-$C$82)-J104*$G$82-$H$82</f>
        <v/>
      </c>
      <c r="K106" s="208">
        <f>K105*($B$82-$C$82)-K104*$G$82-$H$82</f>
        <v/>
      </c>
      <c r="L106" s="208">
        <f>L105*($B$82-$C$82)-L104*$G$82-$H$82</f>
        <v/>
      </c>
      <c r="M106" s="208">
        <f>M105*($B$82-$C$82)-M104*$G$82-$H$82</f>
        <v/>
      </c>
      <c r="N106" s="208">
        <f>N105*($B$82-$C$82)-N104*$G$82-$H$82</f>
        <v/>
      </c>
      <c r="O106" s="208">
        <f>O105*($B$82-$C$82)-O104*$G$82-$H$82</f>
        <v/>
      </c>
      <c r="P106" s="208">
        <f>P105*($B$82-$C$82)-P104*$G$82-$H$82</f>
        <v/>
      </c>
      <c r="Q106" s="208">
        <f>Q105*($B$82-$C$82)-Q104*$G$82-$H$82</f>
        <v/>
      </c>
      <c r="R106" s="208">
        <f>R105*($B$82-$C$82)-R104*$G$82-$H$82</f>
        <v/>
      </c>
      <c r="S106" s="208">
        <f>S105*($B$82-$C$82)-S104*$G$82-$H$82</f>
        <v/>
      </c>
      <c r="T106" s="208">
        <f>T105*($B$82-$C$82)-T104*$G$82-$H$82</f>
        <v/>
      </c>
      <c r="U106" s="208">
        <f>U105*($B$82-$C$82)-U104*$G$82-$H$82</f>
        <v/>
      </c>
      <c r="V106" s="208">
        <f>V105*($B$82-$C$82)-V104*$G$82-$H$82</f>
        <v/>
      </c>
      <c r="W106" s="208">
        <f>W105*($B$82-$C$82)-W104*$G$82-$H$82</f>
        <v/>
      </c>
      <c r="X106" s="208">
        <f>X105*($B$82-$C$82)-X104*$G$82-$H$82</f>
        <v/>
      </c>
      <c r="Y106" s="208">
        <f>Y105*($B$82-$C$82)-Y104*$G$82-$H$82</f>
        <v/>
      </c>
      <c r="Z106" s="208">
        <f>Z105*($B$82-$C$82)-Z104*$G$82-$H$82</f>
        <v/>
      </c>
    </row>
    <row r="107" hidden="1" outlineLevel="1" ht="15" customHeight="1" s="112">
      <c r="A107" s="207" t="inlineStr">
        <is>
          <t>KB2 · Tiền mặt cuối kỳ</t>
        </is>
      </c>
      <c r="B107" s="208">
        <f>$J$82+B106</f>
        <v/>
      </c>
      <c r="C107" s="208">
        <f>B107+C106</f>
        <v/>
      </c>
      <c r="D107" s="208">
        <f>C107+D106</f>
        <v/>
      </c>
      <c r="E107" s="208">
        <f>D107+E106</f>
        <v/>
      </c>
      <c r="F107" s="208">
        <f>E107+F106</f>
        <v/>
      </c>
      <c r="G107" s="208">
        <f>F107+G106</f>
        <v/>
      </c>
      <c r="H107" s="208">
        <f>G107+H106</f>
        <v/>
      </c>
      <c r="I107" s="208">
        <f>H107+I106</f>
        <v/>
      </c>
      <c r="J107" s="208">
        <f>I107+J106</f>
        <v/>
      </c>
      <c r="K107" s="208">
        <f>J107+K106</f>
        <v/>
      </c>
      <c r="L107" s="208">
        <f>K107+L106</f>
        <v/>
      </c>
      <c r="M107" s="208">
        <f>L107+M106</f>
        <v/>
      </c>
      <c r="N107" s="208">
        <f>M107+N106</f>
        <v/>
      </c>
      <c r="O107" s="208">
        <f>N107+O106</f>
        <v/>
      </c>
      <c r="P107" s="208">
        <f>O107+P106</f>
        <v/>
      </c>
      <c r="Q107" s="208">
        <f>P107+Q106</f>
        <v/>
      </c>
      <c r="R107" s="208">
        <f>Q107+R106</f>
        <v/>
      </c>
      <c r="S107" s="208">
        <f>R107+S106</f>
        <v/>
      </c>
      <c r="T107" s="208">
        <f>S107+T106</f>
        <v/>
      </c>
      <c r="U107" s="208">
        <f>T107+U106</f>
        <v/>
      </c>
      <c r="V107" s="208">
        <f>U107+V106</f>
        <v/>
      </c>
      <c r="W107" s="208">
        <f>V107+W106</f>
        <v/>
      </c>
      <c r="X107" s="208">
        <f>W107+X106</f>
        <v/>
      </c>
      <c r="Y107" s="208">
        <f>X107+Y106</f>
        <v/>
      </c>
      <c r="Z107" s="208">
        <f>Y107+Z106</f>
        <v/>
      </c>
    </row>
    <row r="108" hidden="1" outlineLevel="1" ht="15" customHeight="1" s="112">
      <c r="A108" s="207" t="inlineStr">
        <is>
          <t>KB2 · Dòng tiền lũy kế</t>
        </is>
      </c>
      <c r="B108" s="208">
        <f>B106</f>
        <v/>
      </c>
      <c r="C108" s="208">
        <f>B108+C106</f>
        <v/>
      </c>
      <c r="D108" s="208">
        <f>C108+D106</f>
        <v/>
      </c>
      <c r="E108" s="208">
        <f>D108+E106</f>
        <v/>
      </c>
      <c r="F108" s="208">
        <f>E108+F106</f>
        <v/>
      </c>
      <c r="G108" s="208">
        <f>F108+G106</f>
        <v/>
      </c>
      <c r="H108" s="208">
        <f>G108+H106</f>
        <v/>
      </c>
      <c r="I108" s="208">
        <f>H108+I106</f>
        <v/>
      </c>
      <c r="J108" s="208">
        <f>I108+J106</f>
        <v/>
      </c>
      <c r="K108" s="208">
        <f>J108+K106</f>
        <v/>
      </c>
      <c r="L108" s="208">
        <f>K108+L106</f>
        <v/>
      </c>
      <c r="M108" s="208">
        <f>L108+M106</f>
        <v/>
      </c>
      <c r="N108" s="208">
        <f>M108+N106</f>
        <v/>
      </c>
      <c r="O108" s="208">
        <f>N108+O106</f>
        <v/>
      </c>
      <c r="P108" s="208">
        <f>O108+P106</f>
        <v/>
      </c>
      <c r="Q108" s="208">
        <f>P108+Q106</f>
        <v/>
      </c>
      <c r="R108" s="208">
        <f>Q108+R106</f>
        <v/>
      </c>
      <c r="S108" s="208">
        <f>R108+S106</f>
        <v/>
      </c>
      <c r="T108" s="208">
        <f>S108+T106</f>
        <v/>
      </c>
      <c r="U108" s="208">
        <f>T108+U106</f>
        <v/>
      </c>
      <c r="V108" s="208">
        <f>U108+V106</f>
        <v/>
      </c>
      <c r="W108" s="208">
        <f>V108+W106</f>
        <v/>
      </c>
      <c r="X108" s="208">
        <f>W108+X106</f>
        <v/>
      </c>
      <c r="Y108" s="208">
        <f>X108+Y106</f>
        <v/>
      </c>
      <c r="Z108" s="208">
        <f>Y108+Z106</f>
        <v/>
      </c>
    </row>
    <row r="109" hidden="1" outlineLevel="1" ht="15" customHeight="1" s="112"/>
    <row r="110" hidden="1" outlineLevel="1" ht="15" customHeight="1" s="112">
      <c r="A110" s="207" t="inlineStr">
        <is>
          <t>KB3 · Khách mới</t>
        </is>
      </c>
      <c r="C110" s="209">
        <f>$D$83*(1+$E$83)^0</f>
        <v/>
      </c>
      <c r="D110" s="209">
        <f>$D$83*(1+$E$83)^1</f>
        <v/>
      </c>
      <c r="E110" s="209">
        <f>$D$83*(1+$E$83)^2</f>
        <v/>
      </c>
      <c r="F110" s="209">
        <f>$D$83*(1+$E$83)^3</f>
        <v/>
      </c>
      <c r="G110" s="209">
        <f>$D$83*(1+$E$83)^4</f>
        <v/>
      </c>
      <c r="H110" s="209">
        <f>$D$83*(1+$E$83)^5</f>
        <v/>
      </c>
      <c r="I110" s="209">
        <f>$D$83*(1+$E$83)^6</f>
        <v/>
      </c>
      <c r="J110" s="209">
        <f>$D$83*(1+$E$83)^7</f>
        <v/>
      </c>
      <c r="K110" s="209">
        <f>$D$83*(1+$E$83)^8</f>
        <v/>
      </c>
      <c r="L110" s="209">
        <f>$D$83*(1+$E$83)^9</f>
        <v/>
      </c>
      <c r="M110" s="209">
        <f>$D$83*(1+$E$83)^10</f>
        <v/>
      </c>
      <c r="N110" s="209">
        <f>$D$83*(1+$E$83)^11</f>
        <v/>
      </c>
      <c r="O110" s="209">
        <f>$D$83*(1+$E$83)^12</f>
        <v/>
      </c>
      <c r="P110" s="209">
        <f>$D$83*(1+$E$83)^13</f>
        <v/>
      </c>
      <c r="Q110" s="209">
        <f>$D$83*(1+$E$83)^14</f>
        <v/>
      </c>
      <c r="R110" s="209">
        <f>$D$83*(1+$E$83)^15</f>
        <v/>
      </c>
      <c r="S110" s="209">
        <f>$D$83*(1+$E$83)^16</f>
        <v/>
      </c>
      <c r="T110" s="209">
        <f>$D$83*(1+$E$83)^17</f>
        <v/>
      </c>
      <c r="U110" s="209">
        <f>$D$83*(1+$E$83)^18</f>
        <v/>
      </c>
      <c r="V110" s="209">
        <f>$D$83*(1+$E$83)^19</f>
        <v/>
      </c>
      <c r="W110" s="209">
        <f>$D$83*(1+$E$83)^20</f>
        <v/>
      </c>
      <c r="X110" s="209">
        <f>$D$83*(1+$E$83)^21</f>
        <v/>
      </c>
      <c r="Y110" s="209">
        <f>$D$83*(1+$E$83)^22</f>
        <v/>
      </c>
      <c r="Z110" s="209">
        <f>$D$83*(1+$E$83)^23</f>
        <v/>
      </c>
    </row>
    <row r="111" hidden="1" outlineLevel="1" ht="15" customHeight="1" s="112">
      <c r="A111" s="207" t="inlineStr">
        <is>
          <t>KB3 · Khách đang dùng</t>
        </is>
      </c>
      <c r="B111" s="207" t="n">
        <v>0</v>
      </c>
      <c r="C111" s="209">
        <f>B111*(1-$F$83)+C110</f>
        <v/>
      </c>
      <c r="D111" s="209">
        <f>C111*(1-$F$83)+D110</f>
        <v/>
      </c>
      <c r="E111" s="209">
        <f>D111*(1-$F$83)+E110</f>
        <v/>
      </c>
      <c r="F111" s="209">
        <f>E111*(1-$F$83)+F110</f>
        <v/>
      </c>
      <c r="G111" s="209">
        <f>F111*(1-$F$83)+G110</f>
        <v/>
      </c>
      <c r="H111" s="209">
        <f>G111*(1-$F$83)+H110</f>
        <v/>
      </c>
      <c r="I111" s="209">
        <f>H111*(1-$F$83)+I110</f>
        <v/>
      </c>
      <c r="J111" s="209">
        <f>I111*(1-$F$83)+J110</f>
        <v/>
      </c>
      <c r="K111" s="209">
        <f>J111*(1-$F$83)+K110</f>
        <v/>
      </c>
      <c r="L111" s="209">
        <f>K111*(1-$F$83)+L110</f>
        <v/>
      </c>
      <c r="M111" s="209">
        <f>L111*(1-$F$83)+M110</f>
        <v/>
      </c>
      <c r="N111" s="209">
        <f>M111*(1-$F$83)+N110</f>
        <v/>
      </c>
      <c r="O111" s="209">
        <f>N111*(1-$F$83)+O110</f>
        <v/>
      </c>
      <c r="P111" s="209">
        <f>O111*(1-$F$83)+P110</f>
        <v/>
      </c>
      <c r="Q111" s="209">
        <f>P111*(1-$F$83)+Q110</f>
        <v/>
      </c>
      <c r="R111" s="209">
        <f>Q111*(1-$F$83)+R110</f>
        <v/>
      </c>
      <c r="S111" s="209">
        <f>R111*(1-$F$83)+S110</f>
        <v/>
      </c>
      <c r="T111" s="209">
        <f>S111*(1-$F$83)+T110</f>
        <v/>
      </c>
      <c r="U111" s="209">
        <f>T111*(1-$F$83)+U110</f>
        <v/>
      </c>
      <c r="V111" s="209">
        <f>U111*(1-$F$83)+V110</f>
        <v/>
      </c>
      <c r="W111" s="209">
        <f>V111*(1-$F$83)+W110</f>
        <v/>
      </c>
      <c r="X111" s="209">
        <f>W111*(1-$F$83)+X110</f>
        <v/>
      </c>
      <c r="Y111" s="209">
        <f>X111*(1-$F$83)+Y110</f>
        <v/>
      </c>
      <c r="Z111" s="209">
        <f>Y111*(1-$F$83)+Z110</f>
        <v/>
      </c>
    </row>
    <row r="112" hidden="1" outlineLevel="1" ht="15" customHeight="1" s="112">
      <c r="A112" s="207" t="inlineStr">
        <is>
          <t>KB3 · Dòng tiền ròng</t>
        </is>
      </c>
      <c r="B112" s="208">
        <f>-$I$83</f>
        <v/>
      </c>
      <c r="C112" s="208">
        <f>C111*($B$83-$C$83)-C110*$G$83-$H$83</f>
        <v/>
      </c>
      <c r="D112" s="208">
        <f>D111*($B$83-$C$83)-D110*$G$83-$H$83</f>
        <v/>
      </c>
      <c r="E112" s="208">
        <f>E111*($B$83-$C$83)-E110*$G$83-$H$83</f>
        <v/>
      </c>
      <c r="F112" s="208">
        <f>F111*($B$83-$C$83)-F110*$G$83-$H$83</f>
        <v/>
      </c>
      <c r="G112" s="208">
        <f>G111*($B$83-$C$83)-G110*$G$83-$H$83</f>
        <v/>
      </c>
      <c r="H112" s="208">
        <f>H111*($B$83-$C$83)-H110*$G$83-$H$83</f>
        <v/>
      </c>
      <c r="I112" s="208">
        <f>I111*($B$83-$C$83)-I110*$G$83-$H$83</f>
        <v/>
      </c>
      <c r="J112" s="208">
        <f>J111*($B$83-$C$83)-J110*$G$83-$H$83</f>
        <v/>
      </c>
      <c r="K112" s="208">
        <f>K111*($B$83-$C$83)-K110*$G$83-$H$83</f>
        <v/>
      </c>
      <c r="L112" s="208">
        <f>L111*($B$83-$C$83)-L110*$G$83-$H$83</f>
        <v/>
      </c>
      <c r="M112" s="208">
        <f>M111*($B$83-$C$83)-M110*$G$83-$H$83</f>
        <v/>
      </c>
      <c r="N112" s="208">
        <f>N111*($B$83-$C$83)-N110*$G$83-$H$83</f>
        <v/>
      </c>
      <c r="O112" s="208">
        <f>O111*($B$83-$C$83)-O110*$G$83-$H$83</f>
        <v/>
      </c>
      <c r="P112" s="208">
        <f>P111*($B$83-$C$83)-P110*$G$83-$H$83</f>
        <v/>
      </c>
      <c r="Q112" s="208">
        <f>Q111*($B$83-$C$83)-Q110*$G$83-$H$83</f>
        <v/>
      </c>
      <c r="R112" s="208">
        <f>R111*($B$83-$C$83)-R110*$G$83-$H$83</f>
        <v/>
      </c>
      <c r="S112" s="208">
        <f>S111*($B$83-$C$83)-S110*$G$83-$H$83</f>
        <v/>
      </c>
      <c r="T112" s="208">
        <f>T111*($B$83-$C$83)-T110*$G$83-$H$83</f>
        <v/>
      </c>
      <c r="U112" s="208">
        <f>U111*($B$83-$C$83)-U110*$G$83-$H$83</f>
        <v/>
      </c>
      <c r="V112" s="208">
        <f>V111*($B$83-$C$83)-V110*$G$83-$H$83</f>
        <v/>
      </c>
      <c r="W112" s="208">
        <f>W111*($B$83-$C$83)-W110*$G$83-$H$83</f>
        <v/>
      </c>
      <c r="X112" s="208">
        <f>X111*($B$83-$C$83)-X110*$G$83-$H$83</f>
        <v/>
      </c>
      <c r="Y112" s="208">
        <f>Y111*($B$83-$C$83)-Y110*$G$83-$H$83</f>
        <v/>
      </c>
      <c r="Z112" s="208">
        <f>Z111*($B$83-$C$83)-Z110*$G$83-$H$83</f>
        <v/>
      </c>
    </row>
    <row r="113" hidden="1" outlineLevel="1" ht="15" customHeight="1" s="112">
      <c r="A113" s="207" t="inlineStr">
        <is>
          <t>KB3 · Tiền mặt cuối kỳ</t>
        </is>
      </c>
      <c r="B113" s="208">
        <f>$J$83+B112</f>
        <v/>
      </c>
      <c r="C113" s="208">
        <f>B113+C112</f>
        <v/>
      </c>
      <c r="D113" s="208">
        <f>C113+D112</f>
        <v/>
      </c>
      <c r="E113" s="208">
        <f>D113+E112</f>
        <v/>
      </c>
      <c r="F113" s="208">
        <f>E113+F112</f>
        <v/>
      </c>
      <c r="G113" s="208">
        <f>F113+G112</f>
        <v/>
      </c>
      <c r="H113" s="208">
        <f>G113+H112</f>
        <v/>
      </c>
      <c r="I113" s="208">
        <f>H113+I112</f>
        <v/>
      </c>
      <c r="J113" s="208">
        <f>I113+J112</f>
        <v/>
      </c>
      <c r="K113" s="208">
        <f>J113+K112</f>
        <v/>
      </c>
      <c r="L113" s="208">
        <f>K113+L112</f>
        <v/>
      </c>
      <c r="M113" s="208">
        <f>L113+M112</f>
        <v/>
      </c>
      <c r="N113" s="208">
        <f>M113+N112</f>
        <v/>
      </c>
      <c r="O113" s="208">
        <f>N113+O112</f>
        <v/>
      </c>
      <c r="P113" s="208">
        <f>O113+P112</f>
        <v/>
      </c>
      <c r="Q113" s="208">
        <f>P113+Q112</f>
        <v/>
      </c>
      <c r="R113" s="208">
        <f>Q113+R112</f>
        <v/>
      </c>
      <c r="S113" s="208">
        <f>R113+S112</f>
        <v/>
      </c>
      <c r="T113" s="208">
        <f>S113+T112</f>
        <v/>
      </c>
      <c r="U113" s="208">
        <f>T113+U112</f>
        <v/>
      </c>
      <c r="V113" s="208">
        <f>U113+V112</f>
        <v/>
      </c>
      <c r="W113" s="208">
        <f>V113+W112</f>
        <v/>
      </c>
      <c r="X113" s="208">
        <f>W113+X112</f>
        <v/>
      </c>
      <c r="Y113" s="208">
        <f>X113+Y112</f>
        <v/>
      </c>
      <c r="Z113" s="208">
        <f>Y113+Z112</f>
        <v/>
      </c>
    </row>
    <row r="114" hidden="1" outlineLevel="1" ht="15" customHeight="1" s="112">
      <c r="A114" s="207" t="inlineStr">
        <is>
          <t>KB3 · Dòng tiền lũy kế</t>
        </is>
      </c>
      <c r="B114" s="208">
        <f>B112</f>
        <v/>
      </c>
      <c r="C114" s="208">
        <f>B114+C112</f>
        <v/>
      </c>
      <c r="D114" s="208">
        <f>C114+D112</f>
        <v/>
      </c>
      <c r="E114" s="208">
        <f>D114+E112</f>
        <v/>
      </c>
      <c r="F114" s="208">
        <f>E114+F112</f>
        <v/>
      </c>
      <c r="G114" s="208">
        <f>F114+G112</f>
        <v/>
      </c>
      <c r="H114" s="208">
        <f>G114+H112</f>
        <v/>
      </c>
      <c r="I114" s="208">
        <f>H114+I112</f>
        <v/>
      </c>
      <c r="J114" s="208">
        <f>I114+J112</f>
        <v/>
      </c>
      <c r="K114" s="208">
        <f>J114+K112</f>
        <v/>
      </c>
      <c r="L114" s="208">
        <f>K114+L112</f>
        <v/>
      </c>
      <c r="M114" s="208">
        <f>L114+M112</f>
        <v/>
      </c>
      <c r="N114" s="208">
        <f>M114+N112</f>
        <v/>
      </c>
      <c r="O114" s="208">
        <f>N114+O112</f>
        <v/>
      </c>
      <c r="P114" s="208">
        <f>O114+P112</f>
        <v/>
      </c>
      <c r="Q114" s="208">
        <f>P114+Q112</f>
        <v/>
      </c>
      <c r="R114" s="208">
        <f>Q114+R112</f>
        <v/>
      </c>
      <c r="S114" s="208">
        <f>R114+S112</f>
        <v/>
      </c>
      <c r="T114" s="208">
        <f>S114+T112</f>
        <v/>
      </c>
      <c r="U114" s="208">
        <f>T114+U112</f>
        <v/>
      </c>
      <c r="V114" s="208">
        <f>U114+V112</f>
        <v/>
      </c>
      <c r="W114" s="208">
        <f>V114+W112</f>
        <v/>
      </c>
      <c r="X114" s="208">
        <f>W114+X112</f>
        <v/>
      </c>
      <c r="Y114" s="208">
        <f>X114+Y112</f>
        <v/>
      </c>
      <c r="Z114" s="208">
        <f>Y114+Z112</f>
        <v/>
      </c>
    </row>
    <row r="115" hidden="1" outlineLevel="1" ht="15" customHeight="1" s="112"/>
    <row r="116" hidden="1" outlineLevel="1" ht="15" customHeight="1" s="112">
      <c r="A116" s="207" t="inlineStr">
        <is>
          <t>KB4 · Khách mới</t>
        </is>
      </c>
      <c r="C116" s="209">
        <f>$D$84*(1+$E$84)^0</f>
        <v/>
      </c>
      <c r="D116" s="209">
        <f>$D$84*(1+$E$84)^1</f>
        <v/>
      </c>
      <c r="E116" s="209">
        <f>$D$84*(1+$E$84)^2</f>
        <v/>
      </c>
      <c r="F116" s="209">
        <f>$D$84*(1+$E$84)^3</f>
        <v/>
      </c>
      <c r="G116" s="209">
        <f>$D$84*(1+$E$84)^4</f>
        <v/>
      </c>
      <c r="H116" s="209">
        <f>$D$84*(1+$E$84)^5</f>
        <v/>
      </c>
      <c r="I116" s="209">
        <f>$D$84*(1+$E$84)^6</f>
        <v/>
      </c>
      <c r="J116" s="209">
        <f>$D$84*(1+$E$84)^7</f>
        <v/>
      </c>
      <c r="K116" s="209">
        <f>$D$84*(1+$E$84)^8</f>
        <v/>
      </c>
      <c r="L116" s="209">
        <f>$D$84*(1+$E$84)^9</f>
        <v/>
      </c>
      <c r="M116" s="209">
        <f>$D$84*(1+$E$84)^10</f>
        <v/>
      </c>
      <c r="N116" s="209">
        <f>$D$84*(1+$E$84)^11</f>
        <v/>
      </c>
      <c r="O116" s="209">
        <f>$D$84*(1+$E$84)^12</f>
        <v/>
      </c>
      <c r="P116" s="209">
        <f>$D$84*(1+$E$84)^13</f>
        <v/>
      </c>
      <c r="Q116" s="209">
        <f>$D$84*(1+$E$84)^14</f>
        <v/>
      </c>
      <c r="R116" s="209">
        <f>$D$84*(1+$E$84)^15</f>
        <v/>
      </c>
      <c r="S116" s="209">
        <f>$D$84*(1+$E$84)^16</f>
        <v/>
      </c>
      <c r="T116" s="209">
        <f>$D$84*(1+$E$84)^17</f>
        <v/>
      </c>
      <c r="U116" s="209">
        <f>$D$84*(1+$E$84)^18</f>
        <v/>
      </c>
      <c r="V116" s="209">
        <f>$D$84*(1+$E$84)^19</f>
        <v/>
      </c>
      <c r="W116" s="209">
        <f>$D$84*(1+$E$84)^20</f>
        <v/>
      </c>
      <c r="X116" s="209">
        <f>$D$84*(1+$E$84)^21</f>
        <v/>
      </c>
      <c r="Y116" s="209">
        <f>$D$84*(1+$E$84)^22</f>
        <v/>
      </c>
      <c r="Z116" s="209">
        <f>$D$84*(1+$E$84)^23</f>
        <v/>
      </c>
    </row>
    <row r="117" hidden="1" outlineLevel="1" ht="15" customHeight="1" s="112">
      <c r="A117" s="207" t="inlineStr">
        <is>
          <t>KB4 · Khách đang dùng</t>
        </is>
      </c>
      <c r="B117" s="207" t="n">
        <v>0</v>
      </c>
      <c r="C117" s="209">
        <f>B117*(1-$F$84)+C116</f>
        <v/>
      </c>
      <c r="D117" s="209">
        <f>C117*(1-$F$84)+D116</f>
        <v/>
      </c>
      <c r="E117" s="209">
        <f>D117*(1-$F$84)+E116</f>
        <v/>
      </c>
      <c r="F117" s="209">
        <f>E117*(1-$F$84)+F116</f>
        <v/>
      </c>
      <c r="G117" s="209">
        <f>F117*(1-$F$84)+G116</f>
        <v/>
      </c>
      <c r="H117" s="209">
        <f>G117*(1-$F$84)+H116</f>
        <v/>
      </c>
      <c r="I117" s="209">
        <f>H117*(1-$F$84)+I116</f>
        <v/>
      </c>
      <c r="J117" s="209">
        <f>I117*(1-$F$84)+J116</f>
        <v/>
      </c>
      <c r="K117" s="209">
        <f>J117*(1-$F$84)+K116</f>
        <v/>
      </c>
      <c r="L117" s="209">
        <f>K117*(1-$F$84)+L116</f>
        <v/>
      </c>
      <c r="M117" s="209">
        <f>L117*(1-$F$84)+M116</f>
        <v/>
      </c>
      <c r="N117" s="209">
        <f>M117*(1-$F$84)+N116</f>
        <v/>
      </c>
      <c r="O117" s="209">
        <f>N117*(1-$F$84)+O116</f>
        <v/>
      </c>
      <c r="P117" s="209">
        <f>O117*(1-$F$84)+P116</f>
        <v/>
      </c>
      <c r="Q117" s="209">
        <f>P117*(1-$F$84)+Q116</f>
        <v/>
      </c>
      <c r="R117" s="209">
        <f>Q117*(1-$F$84)+R116</f>
        <v/>
      </c>
      <c r="S117" s="209">
        <f>R117*(1-$F$84)+S116</f>
        <v/>
      </c>
      <c r="T117" s="209">
        <f>S117*(1-$F$84)+T116</f>
        <v/>
      </c>
      <c r="U117" s="209">
        <f>T117*(1-$F$84)+U116</f>
        <v/>
      </c>
      <c r="V117" s="209">
        <f>U117*(1-$F$84)+V116</f>
        <v/>
      </c>
      <c r="W117" s="209">
        <f>V117*(1-$F$84)+W116</f>
        <v/>
      </c>
      <c r="X117" s="209">
        <f>W117*(1-$F$84)+X116</f>
        <v/>
      </c>
      <c r="Y117" s="209">
        <f>X117*(1-$F$84)+Y116</f>
        <v/>
      </c>
      <c r="Z117" s="209">
        <f>Y117*(1-$F$84)+Z116</f>
        <v/>
      </c>
    </row>
    <row r="118" hidden="1" outlineLevel="1" ht="15" customHeight="1" s="112">
      <c r="A118" s="207" t="inlineStr">
        <is>
          <t>KB4 · Dòng tiền ròng</t>
        </is>
      </c>
      <c r="B118" s="208">
        <f>-$I$84</f>
        <v/>
      </c>
      <c r="C118" s="208">
        <f>C117*($B$84-$C$84)-C116*$G$84-$H$84</f>
        <v/>
      </c>
      <c r="D118" s="208">
        <f>D117*($B$84-$C$84)-D116*$G$84-$H$84</f>
        <v/>
      </c>
      <c r="E118" s="208">
        <f>E117*($B$84-$C$84)-E116*$G$84-$H$84</f>
        <v/>
      </c>
      <c r="F118" s="208">
        <f>F117*($B$84-$C$84)-F116*$G$84-$H$84</f>
        <v/>
      </c>
      <c r="G118" s="208">
        <f>G117*($B$84-$C$84)-G116*$G$84-$H$84</f>
        <v/>
      </c>
      <c r="H118" s="208">
        <f>H117*($B$84-$C$84)-H116*$G$84-$H$84</f>
        <v/>
      </c>
      <c r="I118" s="208">
        <f>I117*($B$84-$C$84)-I116*$G$84-$H$84</f>
        <v/>
      </c>
      <c r="J118" s="208">
        <f>J117*($B$84-$C$84)-J116*$G$84-$H$84</f>
        <v/>
      </c>
      <c r="K118" s="208">
        <f>K117*($B$84-$C$84)-K116*$G$84-$H$84</f>
        <v/>
      </c>
      <c r="L118" s="208">
        <f>L117*($B$84-$C$84)-L116*$G$84-$H$84</f>
        <v/>
      </c>
      <c r="M118" s="208">
        <f>M117*($B$84-$C$84)-M116*$G$84-$H$84</f>
        <v/>
      </c>
      <c r="N118" s="208">
        <f>N117*($B$84-$C$84)-N116*$G$84-$H$84</f>
        <v/>
      </c>
      <c r="O118" s="208">
        <f>O117*($B$84-$C$84)-O116*$G$84-$H$84</f>
        <v/>
      </c>
      <c r="P118" s="208">
        <f>P117*($B$84-$C$84)-P116*$G$84-$H$84</f>
        <v/>
      </c>
      <c r="Q118" s="208">
        <f>Q117*($B$84-$C$84)-Q116*$G$84-$H$84</f>
        <v/>
      </c>
      <c r="R118" s="208">
        <f>R117*($B$84-$C$84)-R116*$G$84-$H$84</f>
        <v/>
      </c>
      <c r="S118" s="208">
        <f>S117*($B$84-$C$84)-S116*$G$84-$H$84</f>
        <v/>
      </c>
      <c r="T118" s="208">
        <f>T117*($B$84-$C$84)-T116*$G$84-$H$84</f>
        <v/>
      </c>
      <c r="U118" s="208">
        <f>U117*($B$84-$C$84)-U116*$G$84-$H$84</f>
        <v/>
      </c>
      <c r="V118" s="208">
        <f>V117*($B$84-$C$84)-V116*$G$84-$H$84</f>
        <v/>
      </c>
      <c r="W118" s="208">
        <f>W117*($B$84-$C$84)-W116*$G$84-$H$84</f>
        <v/>
      </c>
      <c r="X118" s="208">
        <f>X117*($B$84-$C$84)-X116*$G$84-$H$84</f>
        <v/>
      </c>
      <c r="Y118" s="208">
        <f>Y117*($B$84-$C$84)-Y116*$G$84-$H$84</f>
        <v/>
      </c>
      <c r="Z118" s="208">
        <f>Z117*($B$84-$C$84)-Z116*$G$84-$H$84</f>
        <v/>
      </c>
    </row>
    <row r="119" hidden="1" outlineLevel="1" ht="15" customHeight="1" s="112">
      <c r="A119" s="207" t="inlineStr">
        <is>
          <t>KB4 · Tiền mặt cuối kỳ</t>
        </is>
      </c>
      <c r="B119" s="208">
        <f>$J$84+B118</f>
        <v/>
      </c>
      <c r="C119" s="208">
        <f>B119+C118</f>
        <v/>
      </c>
      <c r="D119" s="208">
        <f>C119+D118</f>
        <v/>
      </c>
      <c r="E119" s="208">
        <f>D119+E118</f>
        <v/>
      </c>
      <c r="F119" s="208">
        <f>E119+F118</f>
        <v/>
      </c>
      <c r="G119" s="208">
        <f>F119+G118</f>
        <v/>
      </c>
      <c r="H119" s="208">
        <f>G119+H118</f>
        <v/>
      </c>
      <c r="I119" s="208">
        <f>H119+I118</f>
        <v/>
      </c>
      <c r="J119" s="208">
        <f>I119+J118</f>
        <v/>
      </c>
      <c r="K119" s="208">
        <f>J119+K118</f>
        <v/>
      </c>
      <c r="L119" s="208">
        <f>K119+L118</f>
        <v/>
      </c>
      <c r="M119" s="208">
        <f>L119+M118</f>
        <v/>
      </c>
      <c r="N119" s="208">
        <f>M119+N118</f>
        <v/>
      </c>
      <c r="O119" s="208">
        <f>N119+O118</f>
        <v/>
      </c>
      <c r="P119" s="208">
        <f>O119+P118</f>
        <v/>
      </c>
      <c r="Q119" s="208">
        <f>P119+Q118</f>
        <v/>
      </c>
      <c r="R119" s="208">
        <f>Q119+R118</f>
        <v/>
      </c>
      <c r="S119" s="208">
        <f>R119+S118</f>
        <v/>
      </c>
      <c r="T119" s="208">
        <f>S119+T118</f>
        <v/>
      </c>
      <c r="U119" s="208">
        <f>T119+U118</f>
        <v/>
      </c>
      <c r="V119" s="208">
        <f>U119+V118</f>
        <v/>
      </c>
      <c r="W119" s="208">
        <f>V119+W118</f>
        <v/>
      </c>
      <c r="X119" s="208">
        <f>W119+X118</f>
        <v/>
      </c>
      <c r="Y119" s="208">
        <f>X119+Y118</f>
        <v/>
      </c>
      <c r="Z119" s="208">
        <f>Y119+Z118</f>
        <v/>
      </c>
    </row>
    <row r="120" hidden="1" outlineLevel="1" ht="15" customHeight="1" s="112">
      <c r="A120" s="207" t="inlineStr">
        <is>
          <t>KB4 · Dòng tiền lũy kế</t>
        </is>
      </c>
      <c r="B120" s="208">
        <f>B118</f>
        <v/>
      </c>
      <c r="C120" s="208">
        <f>B120+C118</f>
        <v/>
      </c>
      <c r="D120" s="208">
        <f>C120+D118</f>
        <v/>
      </c>
      <c r="E120" s="208">
        <f>D120+E118</f>
        <v/>
      </c>
      <c r="F120" s="208">
        <f>E120+F118</f>
        <v/>
      </c>
      <c r="G120" s="208">
        <f>F120+G118</f>
        <v/>
      </c>
      <c r="H120" s="208">
        <f>G120+H118</f>
        <v/>
      </c>
      <c r="I120" s="208">
        <f>H120+I118</f>
        <v/>
      </c>
      <c r="J120" s="208">
        <f>I120+J118</f>
        <v/>
      </c>
      <c r="K120" s="208">
        <f>J120+K118</f>
        <v/>
      </c>
      <c r="L120" s="208">
        <f>K120+L118</f>
        <v/>
      </c>
      <c r="M120" s="208">
        <f>L120+M118</f>
        <v/>
      </c>
      <c r="N120" s="208">
        <f>M120+N118</f>
        <v/>
      </c>
      <c r="O120" s="208">
        <f>N120+O118</f>
        <v/>
      </c>
      <c r="P120" s="208">
        <f>O120+P118</f>
        <v/>
      </c>
      <c r="Q120" s="208">
        <f>P120+Q118</f>
        <v/>
      </c>
      <c r="R120" s="208">
        <f>Q120+R118</f>
        <v/>
      </c>
      <c r="S120" s="208">
        <f>R120+S118</f>
        <v/>
      </c>
      <c r="T120" s="208">
        <f>S120+T118</f>
        <v/>
      </c>
      <c r="U120" s="208">
        <f>T120+U118</f>
        <v/>
      </c>
      <c r="V120" s="208">
        <f>U120+V118</f>
        <v/>
      </c>
      <c r="W120" s="208">
        <f>V120+W118</f>
        <v/>
      </c>
      <c r="X120" s="208">
        <f>W120+X118</f>
        <v/>
      </c>
      <c r="Y120" s="208">
        <f>X120+Y118</f>
        <v/>
      </c>
      <c r="Z120" s="208">
        <f>Y120+Z118</f>
        <v/>
      </c>
    </row>
    <row r="121" hidden="1" outlineLevel="1" ht="15" customHeight="1" s="112"/>
    <row r="122" hidden="1" outlineLevel="1" ht="15" customHeight="1" s="112">
      <c r="A122" s="207" t="inlineStr">
        <is>
          <t>KB5 · Khách mới</t>
        </is>
      </c>
      <c r="C122" s="209">
        <f>$D$85*(1+$E$85)^0</f>
        <v/>
      </c>
      <c r="D122" s="209">
        <f>$D$85*(1+$E$85)^1</f>
        <v/>
      </c>
      <c r="E122" s="209">
        <f>$D$85*(1+$E$85)^2</f>
        <v/>
      </c>
      <c r="F122" s="209">
        <f>$D$85*(1+$E$85)^3</f>
        <v/>
      </c>
      <c r="G122" s="209">
        <f>$D$85*(1+$E$85)^4</f>
        <v/>
      </c>
      <c r="H122" s="209">
        <f>$D$85*(1+$E$85)^5</f>
        <v/>
      </c>
      <c r="I122" s="209">
        <f>$D$85*(1+$E$85)^6</f>
        <v/>
      </c>
      <c r="J122" s="209">
        <f>$D$85*(1+$E$85)^7</f>
        <v/>
      </c>
      <c r="K122" s="209">
        <f>$D$85*(1+$E$85)^8</f>
        <v/>
      </c>
      <c r="L122" s="209">
        <f>$D$85*(1+$E$85)^9</f>
        <v/>
      </c>
      <c r="M122" s="209">
        <f>$D$85*(1+$E$85)^10</f>
        <v/>
      </c>
      <c r="N122" s="209">
        <f>$D$85*(1+$E$85)^11</f>
        <v/>
      </c>
      <c r="O122" s="209">
        <f>$D$85*(1+$E$85)^12</f>
        <v/>
      </c>
      <c r="P122" s="209">
        <f>$D$85*(1+$E$85)^13</f>
        <v/>
      </c>
      <c r="Q122" s="209">
        <f>$D$85*(1+$E$85)^14</f>
        <v/>
      </c>
      <c r="R122" s="209">
        <f>$D$85*(1+$E$85)^15</f>
        <v/>
      </c>
      <c r="S122" s="209">
        <f>$D$85*(1+$E$85)^16</f>
        <v/>
      </c>
      <c r="T122" s="209">
        <f>$D$85*(1+$E$85)^17</f>
        <v/>
      </c>
      <c r="U122" s="209">
        <f>$D$85*(1+$E$85)^18</f>
        <v/>
      </c>
      <c r="V122" s="209">
        <f>$D$85*(1+$E$85)^19</f>
        <v/>
      </c>
      <c r="W122" s="209">
        <f>$D$85*(1+$E$85)^20</f>
        <v/>
      </c>
      <c r="X122" s="209">
        <f>$D$85*(1+$E$85)^21</f>
        <v/>
      </c>
      <c r="Y122" s="209">
        <f>$D$85*(1+$E$85)^22</f>
        <v/>
      </c>
      <c r="Z122" s="209">
        <f>$D$85*(1+$E$85)^23</f>
        <v/>
      </c>
    </row>
    <row r="123" hidden="1" outlineLevel="1" ht="15" customHeight="1" s="112">
      <c r="A123" s="207" t="inlineStr">
        <is>
          <t>KB5 · Khách đang dùng</t>
        </is>
      </c>
      <c r="B123" s="207" t="n">
        <v>0</v>
      </c>
      <c r="C123" s="209">
        <f>B123*(1-$F$85)+C122</f>
        <v/>
      </c>
      <c r="D123" s="209">
        <f>C123*(1-$F$85)+D122</f>
        <v/>
      </c>
      <c r="E123" s="209">
        <f>D123*(1-$F$85)+E122</f>
        <v/>
      </c>
      <c r="F123" s="209">
        <f>E123*(1-$F$85)+F122</f>
        <v/>
      </c>
      <c r="G123" s="209">
        <f>F123*(1-$F$85)+G122</f>
        <v/>
      </c>
      <c r="H123" s="209">
        <f>G123*(1-$F$85)+H122</f>
        <v/>
      </c>
      <c r="I123" s="209">
        <f>H123*(1-$F$85)+I122</f>
        <v/>
      </c>
      <c r="J123" s="209">
        <f>I123*(1-$F$85)+J122</f>
        <v/>
      </c>
      <c r="K123" s="209">
        <f>J123*(1-$F$85)+K122</f>
        <v/>
      </c>
      <c r="L123" s="209">
        <f>K123*(1-$F$85)+L122</f>
        <v/>
      </c>
      <c r="M123" s="209">
        <f>L123*(1-$F$85)+M122</f>
        <v/>
      </c>
      <c r="N123" s="209">
        <f>M123*(1-$F$85)+N122</f>
        <v/>
      </c>
      <c r="O123" s="209">
        <f>N123*(1-$F$85)+O122</f>
        <v/>
      </c>
      <c r="P123" s="209">
        <f>O123*(1-$F$85)+P122</f>
        <v/>
      </c>
      <c r="Q123" s="209">
        <f>P123*(1-$F$85)+Q122</f>
        <v/>
      </c>
      <c r="R123" s="209">
        <f>Q123*(1-$F$85)+R122</f>
        <v/>
      </c>
      <c r="S123" s="209">
        <f>R123*(1-$F$85)+S122</f>
        <v/>
      </c>
      <c r="T123" s="209">
        <f>S123*(1-$F$85)+T122</f>
        <v/>
      </c>
      <c r="U123" s="209">
        <f>T123*(1-$F$85)+U122</f>
        <v/>
      </c>
      <c r="V123" s="209">
        <f>U123*(1-$F$85)+V122</f>
        <v/>
      </c>
      <c r="W123" s="209">
        <f>V123*(1-$F$85)+W122</f>
        <v/>
      </c>
      <c r="X123" s="209">
        <f>W123*(1-$F$85)+X122</f>
        <v/>
      </c>
      <c r="Y123" s="209">
        <f>X123*(1-$F$85)+Y122</f>
        <v/>
      </c>
      <c r="Z123" s="209">
        <f>Y123*(1-$F$85)+Z122</f>
        <v/>
      </c>
    </row>
    <row r="124" hidden="1" outlineLevel="1" ht="15" customHeight="1" s="112">
      <c r="A124" s="207" t="inlineStr">
        <is>
          <t>KB5 · Dòng tiền ròng</t>
        </is>
      </c>
      <c r="B124" s="208">
        <f>-$I$85</f>
        <v/>
      </c>
      <c r="C124" s="208">
        <f>C123*($B$85-$C$85)-C122*$G$85-$H$85</f>
        <v/>
      </c>
      <c r="D124" s="208">
        <f>D123*($B$85-$C$85)-D122*$G$85-$H$85</f>
        <v/>
      </c>
      <c r="E124" s="208">
        <f>E123*($B$85-$C$85)-E122*$G$85-$H$85</f>
        <v/>
      </c>
      <c r="F124" s="208">
        <f>F123*($B$85-$C$85)-F122*$G$85-$H$85</f>
        <v/>
      </c>
      <c r="G124" s="208">
        <f>G123*($B$85-$C$85)-G122*$G$85-$H$85</f>
        <v/>
      </c>
      <c r="H124" s="208">
        <f>H123*($B$85-$C$85)-H122*$G$85-$H$85</f>
        <v/>
      </c>
      <c r="I124" s="208">
        <f>I123*($B$85-$C$85)-I122*$G$85-$H$85</f>
        <v/>
      </c>
      <c r="J124" s="208">
        <f>J123*($B$85-$C$85)-J122*$G$85-$H$85</f>
        <v/>
      </c>
      <c r="K124" s="208">
        <f>K123*($B$85-$C$85)-K122*$G$85-$H$85</f>
        <v/>
      </c>
      <c r="L124" s="208">
        <f>L123*($B$85-$C$85)-L122*$G$85-$H$85</f>
        <v/>
      </c>
      <c r="M124" s="208">
        <f>M123*($B$85-$C$85)-M122*$G$85-$H$85</f>
        <v/>
      </c>
      <c r="N124" s="208">
        <f>N123*($B$85-$C$85)-N122*$G$85-$H$85</f>
        <v/>
      </c>
      <c r="O124" s="208">
        <f>O123*($B$85-$C$85)-O122*$G$85-$H$85</f>
        <v/>
      </c>
      <c r="P124" s="208">
        <f>P123*($B$85-$C$85)-P122*$G$85-$H$85</f>
        <v/>
      </c>
      <c r="Q124" s="208">
        <f>Q123*($B$85-$C$85)-Q122*$G$85-$H$85</f>
        <v/>
      </c>
      <c r="R124" s="208">
        <f>R123*($B$85-$C$85)-R122*$G$85-$H$85</f>
        <v/>
      </c>
      <c r="S124" s="208">
        <f>S123*($B$85-$C$85)-S122*$G$85-$H$85</f>
        <v/>
      </c>
      <c r="T124" s="208">
        <f>T123*($B$85-$C$85)-T122*$G$85-$H$85</f>
        <v/>
      </c>
      <c r="U124" s="208">
        <f>U123*($B$85-$C$85)-U122*$G$85-$H$85</f>
        <v/>
      </c>
      <c r="V124" s="208">
        <f>V123*($B$85-$C$85)-V122*$G$85-$H$85</f>
        <v/>
      </c>
      <c r="W124" s="208">
        <f>W123*($B$85-$C$85)-W122*$G$85-$H$85</f>
        <v/>
      </c>
      <c r="X124" s="208">
        <f>X123*($B$85-$C$85)-X122*$G$85-$H$85</f>
        <v/>
      </c>
      <c r="Y124" s="208">
        <f>Y123*($B$85-$C$85)-Y122*$G$85-$H$85</f>
        <v/>
      </c>
      <c r="Z124" s="208">
        <f>Z123*($B$85-$C$85)-Z122*$G$85-$H$85</f>
        <v/>
      </c>
    </row>
    <row r="125" hidden="1" outlineLevel="1" ht="15" customHeight="1" s="112">
      <c r="A125" s="207" t="inlineStr">
        <is>
          <t>KB5 · Tiền mặt cuối kỳ</t>
        </is>
      </c>
      <c r="B125" s="208">
        <f>$J$85+B124</f>
        <v/>
      </c>
      <c r="C125" s="208">
        <f>B125+C124</f>
        <v/>
      </c>
      <c r="D125" s="208">
        <f>C125+D124</f>
        <v/>
      </c>
      <c r="E125" s="208">
        <f>D125+E124</f>
        <v/>
      </c>
      <c r="F125" s="208">
        <f>E125+F124</f>
        <v/>
      </c>
      <c r="G125" s="208">
        <f>F125+G124</f>
        <v/>
      </c>
      <c r="H125" s="208">
        <f>G125+H124</f>
        <v/>
      </c>
      <c r="I125" s="208">
        <f>H125+I124</f>
        <v/>
      </c>
      <c r="J125" s="208">
        <f>I125+J124</f>
        <v/>
      </c>
      <c r="K125" s="208">
        <f>J125+K124</f>
        <v/>
      </c>
      <c r="L125" s="208">
        <f>K125+L124</f>
        <v/>
      </c>
      <c r="M125" s="208">
        <f>L125+M124</f>
        <v/>
      </c>
      <c r="N125" s="208">
        <f>M125+N124</f>
        <v/>
      </c>
      <c r="O125" s="208">
        <f>N125+O124</f>
        <v/>
      </c>
      <c r="P125" s="208">
        <f>O125+P124</f>
        <v/>
      </c>
      <c r="Q125" s="208">
        <f>P125+Q124</f>
        <v/>
      </c>
      <c r="R125" s="208">
        <f>Q125+R124</f>
        <v/>
      </c>
      <c r="S125" s="208">
        <f>R125+S124</f>
        <v/>
      </c>
      <c r="T125" s="208">
        <f>S125+T124</f>
        <v/>
      </c>
      <c r="U125" s="208">
        <f>T125+U124</f>
        <v/>
      </c>
      <c r="V125" s="208">
        <f>U125+V124</f>
        <v/>
      </c>
      <c r="W125" s="208">
        <f>V125+W124</f>
        <v/>
      </c>
      <c r="X125" s="208">
        <f>W125+X124</f>
        <v/>
      </c>
      <c r="Y125" s="208">
        <f>X125+Y124</f>
        <v/>
      </c>
      <c r="Z125" s="208">
        <f>Y125+Z124</f>
        <v/>
      </c>
    </row>
    <row r="126" hidden="1" outlineLevel="1" ht="15" customHeight="1" s="112">
      <c r="A126" s="207" t="inlineStr">
        <is>
          <t>KB5 · Dòng tiền lũy kế</t>
        </is>
      </c>
      <c r="B126" s="208">
        <f>B124</f>
        <v/>
      </c>
      <c r="C126" s="208">
        <f>B126+C124</f>
        <v/>
      </c>
      <c r="D126" s="208">
        <f>C126+D124</f>
        <v/>
      </c>
      <c r="E126" s="208">
        <f>D126+E124</f>
        <v/>
      </c>
      <c r="F126" s="208">
        <f>E126+F124</f>
        <v/>
      </c>
      <c r="G126" s="208">
        <f>F126+G124</f>
        <v/>
      </c>
      <c r="H126" s="208">
        <f>G126+H124</f>
        <v/>
      </c>
      <c r="I126" s="208">
        <f>H126+I124</f>
        <v/>
      </c>
      <c r="J126" s="208">
        <f>I126+J124</f>
        <v/>
      </c>
      <c r="K126" s="208">
        <f>J126+K124</f>
        <v/>
      </c>
      <c r="L126" s="208">
        <f>K126+L124</f>
        <v/>
      </c>
      <c r="M126" s="208">
        <f>L126+M124</f>
        <v/>
      </c>
      <c r="N126" s="208">
        <f>M126+N124</f>
        <v/>
      </c>
      <c r="O126" s="208">
        <f>N126+O124</f>
        <v/>
      </c>
      <c r="P126" s="208">
        <f>O126+P124</f>
        <v/>
      </c>
      <c r="Q126" s="208">
        <f>P126+Q124</f>
        <v/>
      </c>
      <c r="R126" s="208">
        <f>Q126+R124</f>
        <v/>
      </c>
      <c r="S126" s="208">
        <f>R126+S124</f>
        <v/>
      </c>
      <c r="T126" s="208">
        <f>S126+T124</f>
        <v/>
      </c>
      <c r="U126" s="208">
        <f>T126+U124</f>
        <v/>
      </c>
      <c r="V126" s="208">
        <f>U126+V124</f>
        <v/>
      </c>
      <c r="W126" s="208">
        <f>V126+W124</f>
        <v/>
      </c>
      <c r="X126" s="208">
        <f>W126+X124</f>
        <v/>
      </c>
      <c r="Y126" s="208">
        <f>X126+Y124</f>
        <v/>
      </c>
      <c r="Z126" s="208">
        <f>Y126+Z124</f>
        <v/>
      </c>
    </row>
    <row r="127" hidden="1" outlineLevel="1" ht="15" customHeight="1" s="112"/>
    <row r="128" hidden="1" outlineLevel="1" ht="15" customHeight="1" s="112">
      <c r="A128" s="207" t="inlineStr">
        <is>
          <t>KB6 · Khách mới</t>
        </is>
      </c>
      <c r="C128" s="209">
        <f>$D$86*(1+$E$86)^0</f>
        <v/>
      </c>
      <c r="D128" s="209">
        <f>$D$86*(1+$E$86)^1</f>
        <v/>
      </c>
      <c r="E128" s="209">
        <f>$D$86*(1+$E$86)^2</f>
        <v/>
      </c>
      <c r="F128" s="209">
        <f>$D$86*(1+$E$86)^3</f>
        <v/>
      </c>
      <c r="G128" s="209">
        <f>$D$86*(1+$E$86)^4</f>
        <v/>
      </c>
      <c r="H128" s="209">
        <f>$D$86*(1+$E$86)^5</f>
        <v/>
      </c>
      <c r="I128" s="209">
        <f>$D$86*(1+$E$86)^6</f>
        <v/>
      </c>
      <c r="J128" s="209">
        <f>$D$86*(1+$E$86)^7</f>
        <v/>
      </c>
      <c r="K128" s="209">
        <f>$D$86*(1+$E$86)^8</f>
        <v/>
      </c>
      <c r="L128" s="209">
        <f>$D$86*(1+$E$86)^9</f>
        <v/>
      </c>
      <c r="M128" s="209">
        <f>$D$86*(1+$E$86)^10</f>
        <v/>
      </c>
      <c r="N128" s="209">
        <f>$D$86*(1+$E$86)^11</f>
        <v/>
      </c>
      <c r="O128" s="209">
        <f>$D$86*(1+$E$86)^12</f>
        <v/>
      </c>
      <c r="P128" s="209">
        <f>$D$86*(1+$E$86)^13</f>
        <v/>
      </c>
      <c r="Q128" s="209">
        <f>$D$86*(1+$E$86)^14</f>
        <v/>
      </c>
      <c r="R128" s="209">
        <f>$D$86*(1+$E$86)^15</f>
        <v/>
      </c>
      <c r="S128" s="209">
        <f>$D$86*(1+$E$86)^16</f>
        <v/>
      </c>
      <c r="T128" s="209">
        <f>$D$86*(1+$E$86)^17</f>
        <v/>
      </c>
      <c r="U128" s="209">
        <f>$D$86*(1+$E$86)^18</f>
        <v/>
      </c>
      <c r="V128" s="209">
        <f>$D$86*(1+$E$86)^19</f>
        <v/>
      </c>
      <c r="W128" s="209">
        <f>$D$86*(1+$E$86)^20</f>
        <v/>
      </c>
      <c r="X128" s="209">
        <f>$D$86*(1+$E$86)^21</f>
        <v/>
      </c>
      <c r="Y128" s="209">
        <f>$D$86*(1+$E$86)^22</f>
        <v/>
      </c>
      <c r="Z128" s="209">
        <f>$D$86*(1+$E$86)^23</f>
        <v/>
      </c>
    </row>
    <row r="129" hidden="1" outlineLevel="1" ht="15" customHeight="1" s="112">
      <c r="A129" s="207" t="inlineStr">
        <is>
          <t>KB6 · Khách đang dùng</t>
        </is>
      </c>
      <c r="B129" s="207" t="n">
        <v>0</v>
      </c>
      <c r="C129" s="209">
        <f>B129*(1-$F$86)+C128</f>
        <v/>
      </c>
      <c r="D129" s="209">
        <f>C129*(1-$F$86)+D128</f>
        <v/>
      </c>
      <c r="E129" s="209">
        <f>D129*(1-$F$86)+E128</f>
        <v/>
      </c>
      <c r="F129" s="209">
        <f>E129*(1-$F$86)+F128</f>
        <v/>
      </c>
      <c r="G129" s="209">
        <f>F129*(1-$F$86)+G128</f>
        <v/>
      </c>
      <c r="H129" s="209">
        <f>G129*(1-$F$86)+H128</f>
        <v/>
      </c>
      <c r="I129" s="209">
        <f>H129*(1-$F$86)+I128</f>
        <v/>
      </c>
      <c r="J129" s="209">
        <f>I129*(1-$F$86)+J128</f>
        <v/>
      </c>
      <c r="K129" s="209">
        <f>J129*(1-$F$86)+K128</f>
        <v/>
      </c>
      <c r="L129" s="209">
        <f>K129*(1-$F$86)+L128</f>
        <v/>
      </c>
      <c r="M129" s="209">
        <f>L129*(1-$F$86)+M128</f>
        <v/>
      </c>
      <c r="N129" s="209">
        <f>M129*(1-$F$86)+N128</f>
        <v/>
      </c>
      <c r="O129" s="209">
        <f>N129*(1-$F$86)+O128</f>
        <v/>
      </c>
      <c r="P129" s="209">
        <f>O129*(1-$F$86)+P128</f>
        <v/>
      </c>
      <c r="Q129" s="209">
        <f>P129*(1-$F$86)+Q128</f>
        <v/>
      </c>
      <c r="R129" s="209">
        <f>Q129*(1-$F$86)+R128</f>
        <v/>
      </c>
      <c r="S129" s="209">
        <f>R129*(1-$F$86)+S128</f>
        <v/>
      </c>
      <c r="T129" s="209">
        <f>S129*(1-$F$86)+T128</f>
        <v/>
      </c>
      <c r="U129" s="209">
        <f>T129*(1-$F$86)+U128</f>
        <v/>
      </c>
      <c r="V129" s="209">
        <f>U129*(1-$F$86)+V128</f>
        <v/>
      </c>
      <c r="W129" s="209">
        <f>V129*(1-$F$86)+W128</f>
        <v/>
      </c>
      <c r="X129" s="209">
        <f>W129*(1-$F$86)+X128</f>
        <v/>
      </c>
      <c r="Y129" s="209">
        <f>X129*(1-$F$86)+Y128</f>
        <v/>
      </c>
      <c r="Z129" s="209">
        <f>Y129*(1-$F$86)+Z128</f>
        <v/>
      </c>
    </row>
    <row r="130" hidden="1" outlineLevel="1" ht="15" customHeight="1" s="112">
      <c r="A130" s="207" t="inlineStr">
        <is>
          <t>KB6 · Dòng tiền ròng</t>
        </is>
      </c>
      <c r="B130" s="208">
        <f>-$I$86</f>
        <v/>
      </c>
      <c r="C130" s="208">
        <f>C129*($B$86-$C$86)-C128*$G$86-$H$86</f>
        <v/>
      </c>
      <c r="D130" s="208">
        <f>D129*($B$86-$C$86)-D128*$G$86-$H$86</f>
        <v/>
      </c>
      <c r="E130" s="208">
        <f>E129*($B$86-$C$86)-E128*$G$86-$H$86</f>
        <v/>
      </c>
      <c r="F130" s="208">
        <f>F129*($B$86-$C$86)-F128*$G$86-$H$86</f>
        <v/>
      </c>
      <c r="G130" s="208">
        <f>G129*($B$86-$C$86)-G128*$G$86-$H$86</f>
        <v/>
      </c>
      <c r="H130" s="208">
        <f>H129*($B$86-$C$86)-H128*$G$86-$H$86</f>
        <v/>
      </c>
      <c r="I130" s="208">
        <f>I129*($B$86-$C$86)-I128*$G$86-$H$86</f>
        <v/>
      </c>
      <c r="J130" s="208">
        <f>J129*($B$86-$C$86)-J128*$G$86-$H$86</f>
        <v/>
      </c>
      <c r="K130" s="208">
        <f>K129*($B$86-$C$86)-K128*$G$86-$H$86</f>
        <v/>
      </c>
      <c r="L130" s="208">
        <f>L129*($B$86-$C$86)-L128*$G$86-$H$86</f>
        <v/>
      </c>
      <c r="M130" s="208">
        <f>M129*($B$86-$C$86)-M128*$G$86-$H$86</f>
        <v/>
      </c>
      <c r="N130" s="208">
        <f>N129*($B$86-$C$86)-N128*$G$86-$H$86</f>
        <v/>
      </c>
      <c r="O130" s="208">
        <f>O129*($B$86-$C$86)-O128*$G$86-$H$86</f>
        <v/>
      </c>
      <c r="P130" s="208">
        <f>P129*($B$86-$C$86)-P128*$G$86-$H$86</f>
        <v/>
      </c>
      <c r="Q130" s="208">
        <f>Q129*($B$86-$C$86)-Q128*$G$86-$H$86</f>
        <v/>
      </c>
      <c r="R130" s="208">
        <f>R129*($B$86-$C$86)-R128*$G$86-$H$86</f>
        <v/>
      </c>
      <c r="S130" s="208">
        <f>S129*($B$86-$C$86)-S128*$G$86-$H$86</f>
        <v/>
      </c>
      <c r="T130" s="208">
        <f>T129*($B$86-$C$86)-T128*$G$86-$H$86</f>
        <v/>
      </c>
      <c r="U130" s="208">
        <f>U129*($B$86-$C$86)-U128*$G$86-$H$86</f>
        <v/>
      </c>
      <c r="V130" s="208">
        <f>V129*($B$86-$C$86)-V128*$G$86-$H$86</f>
        <v/>
      </c>
      <c r="W130" s="208">
        <f>W129*($B$86-$C$86)-W128*$G$86-$H$86</f>
        <v/>
      </c>
      <c r="X130" s="208">
        <f>X129*($B$86-$C$86)-X128*$G$86-$H$86</f>
        <v/>
      </c>
      <c r="Y130" s="208">
        <f>Y129*($B$86-$C$86)-Y128*$G$86-$H$86</f>
        <v/>
      </c>
      <c r="Z130" s="208">
        <f>Z129*($B$86-$C$86)-Z128*$G$86-$H$86</f>
        <v/>
      </c>
    </row>
    <row r="131" hidden="1" outlineLevel="1" ht="15" customHeight="1" s="112">
      <c r="A131" s="207" t="inlineStr">
        <is>
          <t>KB6 · Tiền mặt cuối kỳ</t>
        </is>
      </c>
      <c r="B131" s="208">
        <f>$J$86+B130</f>
        <v/>
      </c>
      <c r="C131" s="208">
        <f>B131+C130</f>
        <v/>
      </c>
      <c r="D131" s="208">
        <f>C131+D130</f>
        <v/>
      </c>
      <c r="E131" s="208">
        <f>D131+E130</f>
        <v/>
      </c>
      <c r="F131" s="208">
        <f>E131+F130</f>
        <v/>
      </c>
      <c r="G131" s="208">
        <f>F131+G130</f>
        <v/>
      </c>
      <c r="H131" s="208">
        <f>G131+H130</f>
        <v/>
      </c>
      <c r="I131" s="208">
        <f>H131+I130</f>
        <v/>
      </c>
      <c r="J131" s="208">
        <f>I131+J130</f>
        <v/>
      </c>
      <c r="K131" s="208">
        <f>J131+K130</f>
        <v/>
      </c>
      <c r="L131" s="208">
        <f>K131+L130</f>
        <v/>
      </c>
      <c r="M131" s="208">
        <f>L131+M130</f>
        <v/>
      </c>
      <c r="N131" s="208">
        <f>M131+N130</f>
        <v/>
      </c>
      <c r="O131" s="208">
        <f>N131+O130</f>
        <v/>
      </c>
      <c r="P131" s="208">
        <f>O131+P130</f>
        <v/>
      </c>
      <c r="Q131" s="208">
        <f>P131+Q130</f>
        <v/>
      </c>
      <c r="R131" s="208">
        <f>Q131+R130</f>
        <v/>
      </c>
      <c r="S131" s="208">
        <f>R131+S130</f>
        <v/>
      </c>
      <c r="T131" s="208">
        <f>S131+T130</f>
        <v/>
      </c>
      <c r="U131" s="208">
        <f>T131+U130</f>
        <v/>
      </c>
      <c r="V131" s="208">
        <f>U131+V130</f>
        <v/>
      </c>
      <c r="W131" s="208">
        <f>V131+W130</f>
        <v/>
      </c>
      <c r="X131" s="208">
        <f>W131+X130</f>
        <v/>
      </c>
      <c r="Y131" s="208">
        <f>X131+Y130</f>
        <v/>
      </c>
      <c r="Z131" s="208">
        <f>Y131+Z130</f>
        <v/>
      </c>
    </row>
    <row r="132" hidden="1" outlineLevel="1" ht="15" customHeight="1" s="112">
      <c r="A132" s="207" t="inlineStr">
        <is>
          <t>KB6 · Dòng tiền lũy kế</t>
        </is>
      </c>
      <c r="B132" s="208">
        <f>B130</f>
        <v/>
      </c>
      <c r="C132" s="208">
        <f>B132+C130</f>
        <v/>
      </c>
      <c r="D132" s="208">
        <f>C132+D130</f>
        <v/>
      </c>
      <c r="E132" s="208">
        <f>D132+E130</f>
        <v/>
      </c>
      <c r="F132" s="208">
        <f>E132+F130</f>
        <v/>
      </c>
      <c r="G132" s="208">
        <f>F132+G130</f>
        <v/>
      </c>
      <c r="H132" s="208">
        <f>G132+H130</f>
        <v/>
      </c>
      <c r="I132" s="208">
        <f>H132+I130</f>
        <v/>
      </c>
      <c r="J132" s="208">
        <f>I132+J130</f>
        <v/>
      </c>
      <c r="K132" s="208">
        <f>J132+K130</f>
        <v/>
      </c>
      <c r="L132" s="208">
        <f>K132+L130</f>
        <v/>
      </c>
      <c r="M132" s="208">
        <f>L132+M130</f>
        <v/>
      </c>
      <c r="N132" s="208">
        <f>M132+N130</f>
        <v/>
      </c>
      <c r="O132" s="208">
        <f>N132+O130</f>
        <v/>
      </c>
      <c r="P132" s="208">
        <f>O132+P130</f>
        <v/>
      </c>
      <c r="Q132" s="208">
        <f>P132+Q130</f>
        <v/>
      </c>
      <c r="R132" s="208">
        <f>Q132+R130</f>
        <v/>
      </c>
      <c r="S132" s="208">
        <f>R132+S130</f>
        <v/>
      </c>
      <c r="T132" s="208">
        <f>S132+T130</f>
        <v/>
      </c>
      <c r="U132" s="208">
        <f>T132+U130</f>
        <v/>
      </c>
      <c r="V132" s="208">
        <f>U132+V130</f>
        <v/>
      </c>
      <c r="W132" s="208">
        <f>V132+W130</f>
        <v/>
      </c>
      <c r="X132" s="208">
        <f>W132+X130</f>
        <v/>
      </c>
      <c r="Y132" s="208">
        <f>X132+Y130</f>
        <v/>
      </c>
      <c r="Z132" s="208">
        <f>Y132+Z130</f>
        <v/>
      </c>
    </row>
    <row r="133" hidden="1" outlineLevel="1" ht="15" customHeight="1" s="112"/>
    <row r="134" hidden="1" outlineLevel="1" ht="15" customHeight="1" s="112">
      <c r="A134" s="207" t="inlineStr">
        <is>
          <t>KB7 · Khách mới</t>
        </is>
      </c>
      <c r="C134" s="209">
        <f>$D$87*(1+$E$87)^0</f>
        <v/>
      </c>
      <c r="D134" s="209">
        <f>$D$87*(1+$E$87)^1</f>
        <v/>
      </c>
      <c r="E134" s="209">
        <f>$D$87*(1+$E$87)^2</f>
        <v/>
      </c>
      <c r="F134" s="209">
        <f>$D$87*(1+$E$87)^3</f>
        <v/>
      </c>
      <c r="G134" s="209">
        <f>$D$87*(1+$E$87)^4</f>
        <v/>
      </c>
      <c r="H134" s="209">
        <f>$D$87*(1+$E$87)^5</f>
        <v/>
      </c>
      <c r="I134" s="209">
        <f>$D$87*(1+$E$87)^6</f>
        <v/>
      </c>
      <c r="J134" s="209">
        <f>$D$87*(1+$E$87)^7</f>
        <v/>
      </c>
      <c r="K134" s="209">
        <f>$D$87*(1+$E$87)^8</f>
        <v/>
      </c>
      <c r="L134" s="209">
        <f>$D$87*(1+$E$87)^9</f>
        <v/>
      </c>
      <c r="M134" s="209">
        <f>$D$87*(1+$E$87)^10</f>
        <v/>
      </c>
      <c r="N134" s="209">
        <f>$D$87*(1+$E$87)^11</f>
        <v/>
      </c>
      <c r="O134" s="209">
        <f>$D$87*(1+$E$87)^12</f>
        <v/>
      </c>
      <c r="P134" s="209">
        <f>$D$87*(1+$E$87)^13</f>
        <v/>
      </c>
      <c r="Q134" s="209">
        <f>$D$87*(1+$E$87)^14</f>
        <v/>
      </c>
      <c r="R134" s="209">
        <f>$D$87*(1+$E$87)^15</f>
        <v/>
      </c>
      <c r="S134" s="209">
        <f>$D$87*(1+$E$87)^16</f>
        <v/>
      </c>
      <c r="T134" s="209">
        <f>$D$87*(1+$E$87)^17</f>
        <v/>
      </c>
      <c r="U134" s="209">
        <f>$D$87*(1+$E$87)^18</f>
        <v/>
      </c>
      <c r="V134" s="209">
        <f>$D$87*(1+$E$87)^19</f>
        <v/>
      </c>
      <c r="W134" s="209">
        <f>$D$87*(1+$E$87)^20</f>
        <v/>
      </c>
      <c r="X134" s="209">
        <f>$D$87*(1+$E$87)^21</f>
        <v/>
      </c>
      <c r="Y134" s="209">
        <f>$D$87*(1+$E$87)^22</f>
        <v/>
      </c>
      <c r="Z134" s="209">
        <f>$D$87*(1+$E$87)^23</f>
        <v/>
      </c>
    </row>
    <row r="135" hidden="1" outlineLevel="1" ht="15" customHeight="1" s="112">
      <c r="A135" s="207" t="inlineStr">
        <is>
          <t>KB7 · Khách đang dùng</t>
        </is>
      </c>
      <c r="B135" s="207" t="n">
        <v>0</v>
      </c>
      <c r="C135" s="209">
        <f>B135*(1-$F$87)+C134</f>
        <v/>
      </c>
      <c r="D135" s="209">
        <f>C135*(1-$F$87)+D134</f>
        <v/>
      </c>
      <c r="E135" s="209">
        <f>D135*(1-$F$87)+E134</f>
        <v/>
      </c>
      <c r="F135" s="209">
        <f>E135*(1-$F$87)+F134</f>
        <v/>
      </c>
      <c r="G135" s="209">
        <f>F135*(1-$F$87)+G134</f>
        <v/>
      </c>
      <c r="H135" s="209">
        <f>G135*(1-$F$87)+H134</f>
        <v/>
      </c>
      <c r="I135" s="209">
        <f>H135*(1-$F$87)+I134</f>
        <v/>
      </c>
      <c r="J135" s="209">
        <f>I135*(1-$F$87)+J134</f>
        <v/>
      </c>
      <c r="K135" s="209">
        <f>J135*(1-$F$87)+K134</f>
        <v/>
      </c>
      <c r="L135" s="209">
        <f>K135*(1-$F$87)+L134</f>
        <v/>
      </c>
      <c r="M135" s="209">
        <f>L135*(1-$F$87)+M134</f>
        <v/>
      </c>
      <c r="N135" s="209">
        <f>M135*(1-$F$87)+N134</f>
        <v/>
      </c>
      <c r="O135" s="209">
        <f>N135*(1-$F$87)+O134</f>
        <v/>
      </c>
      <c r="P135" s="209">
        <f>O135*(1-$F$87)+P134</f>
        <v/>
      </c>
      <c r="Q135" s="209">
        <f>P135*(1-$F$87)+Q134</f>
        <v/>
      </c>
      <c r="R135" s="209">
        <f>Q135*(1-$F$87)+R134</f>
        <v/>
      </c>
      <c r="S135" s="209">
        <f>R135*(1-$F$87)+S134</f>
        <v/>
      </c>
      <c r="T135" s="209">
        <f>S135*(1-$F$87)+T134</f>
        <v/>
      </c>
      <c r="U135" s="209">
        <f>T135*(1-$F$87)+U134</f>
        <v/>
      </c>
      <c r="V135" s="209">
        <f>U135*(1-$F$87)+V134</f>
        <v/>
      </c>
      <c r="W135" s="209">
        <f>V135*(1-$F$87)+W134</f>
        <v/>
      </c>
      <c r="X135" s="209">
        <f>W135*(1-$F$87)+X134</f>
        <v/>
      </c>
      <c r="Y135" s="209">
        <f>X135*(1-$F$87)+Y134</f>
        <v/>
      </c>
      <c r="Z135" s="209">
        <f>Y135*(1-$F$87)+Z134</f>
        <v/>
      </c>
    </row>
    <row r="136" hidden="1" outlineLevel="1" ht="15" customHeight="1" s="112">
      <c r="A136" s="207" t="inlineStr">
        <is>
          <t>KB7 · Dòng tiền ròng</t>
        </is>
      </c>
      <c r="B136" s="208">
        <f>-$I$87</f>
        <v/>
      </c>
      <c r="C136" s="208">
        <f>C135*($B$87-$C$87)-C134*$G$87-$H$87</f>
        <v/>
      </c>
      <c r="D136" s="208">
        <f>D135*($B$87-$C$87)-D134*$G$87-$H$87</f>
        <v/>
      </c>
      <c r="E136" s="208">
        <f>E135*($B$87-$C$87)-E134*$G$87-$H$87</f>
        <v/>
      </c>
      <c r="F136" s="208">
        <f>F135*($B$87-$C$87)-F134*$G$87-$H$87</f>
        <v/>
      </c>
      <c r="G136" s="208">
        <f>G135*($B$87-$C$87)-G134*$G$87-$H$87</f>
        <v/>
      </c>
      <c r="H136" s="208">
        <f>H135*($B$87-$C$87)-H134*$G$87-$H$87</f>
        <v/>
      </c>
      <c r="I136" s="208">
        <f>I135*($B$87-$C$87)-I134*$G$87-$H$87</f>
        <v/>
      </c>
      <c r="J136" s="208">
        <f>J135*($B$87-$C$87)-J134*$G$87-$H$87</f>
        <v/>
      </c>
      <c r="K136" s="208">
        <f>K135*($B$87-$C$87)-K134*$G$87-$H$87</f>
        <v/>
      </c>
      <c r="L136" s="208">
        <f>L135*($B$87-$C$87)-L134*$G$87-$H$87</f>
        <v/>
      </c>
      <c r="M136" s="208">
        <f>M135*($B$87-$C$87)-M134*$G$87-$H$87</f>
        <v/>
      </c>
      <c r="N136" s="208">
        <f>N135*($B$87-$C$87)-N134*$G$87-$H$87</f>
        <v/>
      </c>
      <c r="O136" s="208">
        <f>O135*($B$87-$C$87)-O134*$G$87-$H$87</f>
        <v/>
      </c>
      <c r="P136" s="208">
        <f>P135*($B$87-$C$87)-P134*$G$87-$H$87</f>
        <v/>
      </c>
      <c r="Q136" s="208">
        <f>Q135*($B$87-$C$87)-Q134*$G$87-$H$87</f>
        <v/>
      </c>
      <c r="R136" s="208">
        <f>R135*($B$87-$C$87)-R134*$G$87-$H$87</f>
        <v/>
      </c>
      <c r="S136" s="208">
        <f>S135*($B$87-$C$87)-S134*$G$87-$H$87</f>
        <v/>
      </c>
      <c r="T136" s="208">
        <f>T135*($B$87-$C$87)-T134*$G$87-$H$87</f>
        <v/>
      </c>
      <c r="U136" s="208">
        <f>U135*($B$87-$C$87)-U134*$G$87-$H$87</f>
        <v/>
      </c>
      <c r="V136" s="208">
        <f>V135*($B$87-$C$87)-V134*$G$87-$H$87</f>
        <v/>
      </c>
      <c r="W136" s="208">
        <f>W135*($B$87-$C$87)-W134*$G$87-$H$87</f>
        <v/>
      </c>
      <c r="X136" s="208">
        <f>X135*($B$87-$C$87)-X134*$G$87-$H$87</f>
        <v/>
      </c>
      <c r="Y136" s="208">
        <f>Y135*($B$87-$C$87)-Y134*$G$87-$H$87</f>
        <v/>
      </c>
      <c r="Z136" s="208">
        <f>Z135*($B$87-$C$87)-Z134*$G$87-$H$87</f>
        <v/>
      </c>
    </row>
    <row r="137" hidden="1" outlineLevel="1" ht="15" customHeight="1" s="112">
      <c r="A137" s="207" t="inlineStr">
        <is>
          <t>KB7 · Tiền mặt cuối kỳ</t>
        </is>
      </c>
      <c r="B137" s="208">
        <f>$J$87+B136</f>
        <v/>
      </c>
      <c r="C137" s="208">
        <f>B137+C136</f>
        <v/>
      </c>
      <c r="D137" s="208">
        <f>C137+D136</f>
        <v/>
      </c>
      <c r="E137" s="208">
        <f>D137+E136</f>
        <v/>
      </c>
      <c r="F137" s="208">
        <f>E137+F136</f>
        <v/>
      </c>
      <c r="G137" s="208">
        <f>F137+G136</f>
        <v/>
      </c>
      <c r="H137" s="208">
        <f>G137+H136</f>
        <v/>
      </c>
      <c r="I137" s="208">
        <f>H137+I136</f>
        <v/>
      </c>
      <c r="J137" s="208">
        <f>I137+J136</f>
        <v/>
      </c>
      <c r="K137" s="208">
        <f>J137+K136</f>
        <v/>
      </c>
      <c r="L137" s="208">
        <f>K137+L136</f>
        <v/>
      </c>
      <c r="M137" s="208">
        <f>L137+M136</f>
        <v/>
      </c>
      <c r="N137" s="208">
        <f>M137+N136</f>
        <v/>
      </c>
      <c r="O137" s="208">
        <f>N137+O136</f>
        <v/>
      </c>
      <c r="P137" s="208">
        <f>O137+P136</f>
        <v/>
      </c>
      <c r="Q137" s="208">
        <f>P137+Q136</f>
        <v/>
      </c>
      <c r="R137" s="208">
        <f>Q137+R136</f>
        <v/>
      </c>
      <c r="S137" s="208">
        <f>R137+S136</f>
        <v/>
      </c>
      <c r="T137" s="208">
        <f>S137+T136</f>
        <v/>
      </c>
      <c r="U137" s="208">
        <f>T137+U136</f>
        <v/>
      </c>
      <c r="V137" s="208">
        <f>U137+V136</f>
        <v/>
      </c>
      <c r="W137" s="208">
        <f>V137+W136</f>
        <v/>
      </c>
      <c r="X137" s="208">
        <f>W137+X136</f>
        <v/>
      </c>
      <c r="Y137" s="208">
        <f>X137+Y136</f>
        <v/>
      </c>
      <c r="Z137" s="208">
        <f>Y137+Z136</f>
        <v/>
      </c>
    </row>
    <row r="138" hidden="1" outlineLevel="1" ht="15" customHeight="1" s="112">
      <c r="A138" s="207" t="inlineStr">
        <is>
          <t>KB7 · Dòng tiền lũy kế</t>
        </is>
      </c>
      <c r="B138" s="208">
        <f>B136</f>
        <v/>
      </c>
      <c r="C138" s="208">
        <f>B138+C136</f>
        <v/>
      </c>
      <c r="D138" s="208">
        <f>C138+D136</f>
        <v/>
      </c>
      <c r="E138" s="208">
        <f>D138+E136</f>
        <v/>
      </c>
      <c r="F138" s="208">
        <f>E138+F136</f>
        <v/>
      </c>
      <c r="G138" s="208">
        <f>F138+G136</f>
        <v/>
      </c>
      <c r="H138" s="208">
        <f>G138+H136</f>
        <v/>
      </c>
      <c r="I138" s="208">
        <f>H138+I136</f>
        <v/>
      </c>
      <c r="J138" s="208">
        <f>I138+J136</f>
        <v/>
      </c>
      <c r="K138" s="208">
        <f>J138+K136</f>
        <v/>
      </c>
      <c r="L138" s="208">
        <f>K138+L136</f>
        <v/>
      </c>
      <c r="M138" s="208">
        <f>L138+M136</f>
        <v/>
      </c>
      <c r="N138" s="208">
        <f>M138+N136</f>
        <v/>
      </c>
      <c r="O138" s="208">
        <f>N138+O136</f>
        <v/>
      </c>
      <c r="P138" s="208">
        <f>O138+P136</f>
        <v/>
      </c>
      <c r="Q138" s="208">
        <f>P138+Q136</f>
        <v/>
      </c>
      <c r="R138" s="208">
        <f>Q138+R136</f>
        <v/>
      </c>
      <c r="S138" s="208">
        <f>R138+S136</f>
        <v/>
      </c>
      <c r="T138" s="208">
        <f>S138+T136</f>
        <v/>
      </c>
      <c r="U138" s="208">
        <f>T138+U136</f>
        <v/>
      </c>
      <c r="V138" s="208">
        <f>U138+V136</f>
        <v/>
      </c>
      <c r="W138" s="208">
        <f>V138+W136</f>
        <v/>
      </c>
      <c r="X138" s="208">
        <f>W138+X136</f>
        <v/>
      </c>
      <c r="Y138" s="208">
        <f>X138+Y136</f>
        <v/>
      </c>
      <c r="Z138" s="208">
        <f>Y138+Z136</f>
        <v/>
      </c>
    </row>
    <row r="139" hidden="1" outlineLevel="1" ht="15" customHeight="1" s="112"/>
    <row r="140" hidden="1" outlineLevel="1" ht="15" customHeight="1" s="112">
      <c r="A140" s="207" t="inlineStr">
        <is>
          <t>KB8 · Khách mới</t>
        </is>
      </c>
      <c r="C140" s="209">
        <f>$D$88*(1+$E$88)^0</f>
        <v/>
      </c>
      <c r="D140" s="209">
        <f>$D$88*(1+$E$88)^1</f>
        <v/>
      </c>
      <c r="E140" s="209">
        <f>$D$88*(1+$E$88)^2</f>
        <v/>
      </c>
      <c r="F140" s="209">
        <f>$D$88*(1+$E$88)^3</f>
        <v/>
      </c>
      <c r="G140" s="209">
        <f>$D$88*(1+$E$88)^4</f>
        <v/>
      </c>
      <c r="H140" s="209">
        <f>$D$88*(1+$E$88)^5</f>
        <v/>
      </c>
      <c r="I140" s="209">
        <f>$D$88*(1+$E$88)^6</f>
        <v/>
      </c>
      <c r="J140" s="209">
        <f>$D$88*(1+$E$88)^7</f>
        <v/>
      </c>
      <c r="K140" s="209">
        <f>$D$88*(1+$E$88)^8</f>
        <v/>
      </c>
      <c r="L140" s="209">
        <f>$D$88*(1+$E$88)^9</f>
        <v/>
      </c>
      <c r="M140" s="209">
        <f>$D$88*(1+$E$88)^10</f>
        <v/>
      </c>
      <c r="N140" s="209">
        <f>$D$88*(1+$E$88)^11</f>
        <v/>
      </c>
      <c r="O140" s="209">
        <f>$D$88*(1+$E$88)^12</f>
        <v/>
      </c>
      <c r="P140" s="209">
        <f>$D$88*(1+$E$88)^13</f>
        <v/>
      </c>
      <c r="Q140" s="209">
        <f>$D$88*(1+$E$88)^14</f>
        <v/>
      </c>
      <c r="R140" s="209">
        <f>$D$88*(1+$E$88)^15</f>
        <v/>
      </c>
      <c r="S140" s="209">
        <f>$D$88*(1+$E$88)^16</f>
        <v/>
      </c>
      <c r="T140" s="209">
        <f>$D$88*(1+$E$88)^17</f>
        <v/>
      </c>
      <c r="U140" s="209">
        <f>$D$88*(1+$E$88)^18</f>
        <v/>
      </c>
      <c r="V140" s="209">
        <f>$D$88*(1+$E$88)^19</f>
        <v/>
      </c>
      <c r="W140" s="209">
        <f>$D$88*(1+$E$88)^20</f>
        <v/>
      </c>
      <c r="X140" s="209">
        <f>$D$88*(1+$E$88)^21</f>
        <v/>
      </c>
      <c r="Y140" s="209">
        <f>$D$88*(1+$E$88)^22</f>
        <v/>
      </c>
      <c r="Z140" s="209">
        <f>$D$88*(1+$E$88)^23</f>
        <v/>
      </c>
    </row>
    <row r="141" hidden="1" outlineLevel="1" ht="15" customHeight="1" s="112">
      <c r="A141" s="207" t="inlineStr">
        <is>
          <t>KB8 · Khách đang dùng</t>
        </is>
      </c>
      <c r="B141" s="207" t="n">
        <v>0</v>
      </c>
      <c r="C141" s="209">
        <f>B141*(1-$F$88)+C140</f>
        <v/>
      </c>
      <c r="D141" s="209">
        <f>C141*(1-$F$88)+D140</f>
        <v/>
      </c>
      <c r="E141" s="209">
        <f>D141*(1-$F$88)+E140</f>
        <v/>
      </c>
      <c r="F141" s="209">
        <f>E141*(1-$F$88)+F140</f>
        <v/>
      </c>
      <c r="G141" s="209">
        <f>F141*(1-$F$88)+G140</f>
        <v/>
      </c>
      <c r="H141" s="209">
        <f>G141*(1-$F$88)+H140</f>
        <v/>
      </c>
      <c r="I141" s="209">
        <f>H141*(1-$F$88)+I140</f>
        <v/>
      </c>
      <c r="J141" s="209">
        <f>I141*(1-$F$88)+J140</f>
        <v/>
      </c>
      <c r="K141" s="209">
        <f>J141*(1-$F$88)+K140</f>
        <v/>
      </c>
      <c r="L141" s="209">
        <f>K141*(1-$F$88)+L140</f>
        <v/>
      </c>
      <c r="M141" s="209">
        <f>L141*(1-$F$88)+M140</f>
        <v/>
      </c>
      <c r="N141" s="209">
        <f>M141*(1-$F$88)+N140</f>
        <v/>
      </c>
      <c r="O141" s="209">
        <f>N141*(1-$F$88)+O140</f>
        <v/>
      </c>
      <c r="P141" s="209">
        <f>O141*(1-$F$88)+P140</f>
        <v/>
      </c>
      <c r="Q141" s="209">
        <f>P141*(1-$F$88)+Q140</f>
        <v/>
      </c>
      <c r="R141" s="209">
        <f>Q141*(1-$F$88)+R140</f>
        <v/>
      </c>
      <c r="S141" s="209">
        <f>R141*(1-$F$88)+S140</f>
        <v/>
      </c>
      <c r="T141" s="209">
        <f>S141*(1-$F$88)+T140</f>
        <v/>
      </c>
      <c r="U141" s="209">
        <f>T141*(1-$F$88)+U140</f>
        <v/>
      </c>
      <c r="V141" s="209">
        <f>U141*(1-$F$88)+V140</f>
        <v/>
      </c>
      <c r="W141" s="209">
        <f>V141*(1-$F$88)+W140</f>
        <v/>
      </c>
      <c r="X141" s="209">
        <f>W141*(1-$F$88)+X140</f>
        <v/>
      </c>
      <c r="Y141" s="209">
        <f>X141*(1-$F$88)+Y140</f>
        <v/>
      </c>
      <c r="Z141" s="209">
        <f>Y141*(1-$F$88)+Z140</f>
        <v/>
      </c>
    </row>
    <row r="142" hidden="1" outlineLevel="1" ht="15" customHeight="1" s="112">
      <c r="A142" s="207" t="inlineStr">
        <is>
          <t>KB8 · Dòng tiền ròng</t>
        </is>
      </c>
      <c r="B142" s="208">
        <f>-$I$88</f>
        <v/>
      </c>
      <c r="C142" s="208">
        <f>C141*($B$88-$C$88)-C140*$G$88-$H$88</f>
        <v/>
      </c>
      <c r="D142" s="208">
        <f>D141*($B$88-$C$88)-D140*$G$88-$H$88</f>
        <v/>
      </c>
      <c r="E142" s="208">
        <f>E141*($B$88-$C$88)-E140*$G$88-$H$88</f>
        <v/>
      </c>
      <c r="F142" s="208">
        <f>F141*($B$88-$C$88)-F140*$G$88-$H$88</f>
        <v/>
      </c>
      <c r="G142" s="208">
        <f>G141*($B$88-$C$88)-G140*$G$88-$H$88</f>
        <v/>
      </c>
      <c r="H142" s="208">
        <f>H141*($B$88-$C$88)-H140*$G$88-$H$88</f>
        <v/>
      </c>
      <c r="I142" s="208">
        <f>I141*($B$88-$C$88)-I140*$G$88-$H$88</f>
        <v/>
      </c>
      <c r="J142" s="208">
        <f>J141*($B$88-$C$88)-J140*$G$88-$H$88</f>
        <v/>
      </c>
      <c r="K142" s="208">
        <f>K141*($B$88-$C$88)-K140*$G$88-$H$88</f>
        <v/>
      </c>
      <c r="L142" s="208">
        <f>L141*($B$88-$C$88)-L140*$G$88-$H$88</f>
        <v/>
      </c>
      <c r="M142" s="208">
        <f>M141*($B$88-$C$88)-M140*$G$88-$H$88</f>
        <v/>
      </c>
      <c r="N142" s="208">
        <f>N141*($B$88-$C$88)-N140*$G$88-$H$88</f>
        <v/>
      </c>
      <c r="O142" s="208">
        <f>O141*($B$88-$C$88)-O140*$G$88-$H$88</f>
        <v/>
      </c>
      <c r="P142" s="208">
        <f>P141*($B$88-$C$88)-P140*$G$88-$H$88</f>
        <v/>
      </c>
      <c r="Q142" s="208">
        <f>Q141*($B$88-$C$88)-Q140*$G$88-$H$88</f>
        <v/>
      </c>
      <c r="R142" s="208">
        <f>R141*($B$88-$C$88)-R140*$G$88-$H$88</f>
        <v/>
      </c>
      <c r="S142" s="208">
        <f>S141*($B$88-$C$88)-S140*$G$88-$H$88</f>
        <v/>
      </c>
      <c r="T142" s="208">
        <f>T141*($B$88-$C$88)-T140*$G$88-$H$88</f>
        <v/>
      </c>
      <c r="U142" s="208">
        <f>U141*($B$88-$C$88)-U140*$G$88-$H$88</f>
        <v/>
      </c>
      <c r="V142" s="208">
        <f>V141*($B$88-$C$88)-V140*$G$88-$H$88</f>
        <v/>
      </c>
      <c r="W142" s="208">
        <f>W141*($B$88-$C$88)-W140*$G$88-$H$88</f>
        <v/>
      </c>
      <c r="X142" s="208">
        <f>X141*($B$88-$C$88)-X140*$G$88-$H$88</f>
        <v/>
      </c>
      <c r="Y142" s="208">
        <f>Y141*($B$88-$C$88)-Y140*$G$88-$H$88</f>
        <v/>
      </c>
      <c r="Z142" s="208">
        <f>Z141*($B$88-$C$88)-Z140*$G$88-$H$88</f>
        <v/>
      </c>
    </row>
    <row r="143" hidden="1" outlineLevel="1" ht="15" customHeight="1" s="112">
      <c r="A143" s="207" t="inlineStr">
        <is>
          <t>KB8 · Tiền mặt cuối kỳ</t>
        </is>
      </c>
      <c r="B143" s="208">
        <f>$J$88+B142</f>
        <v/>
      </c>
      <c r="C143" s="208">
        <f>B143+C142</f>
        <v/>
      </c>
      <c r="D143" s="208">
        <f>C143+D142</f>
        <v/>
      </c>
      <c r="E143" s="208">
        <f>D143+E142</f>
        <v/>
      </c>
      <c r="F143" s="208">
        <f>E143+F142</f>
        <v/>
      </c>
      <c r="G143" s="208">
        <f>F143+G142</f>
        <v/>
      </c>
      <c r="H143" s="208">
        <f>G143+H142</f>
        <v/>
      </c>
      <c r="I143" s="208">
        <f>H143+I142</f>
        <v/>
      </c>
      <c r="J143" s="208">
        <f>I143+J142</f>
        <v/>
      </c>
      <c r="K143" s="208">
        <f>J143+K142</f>
        <v/>
      </c>
      <c r="L143" s="208">
        <f>K143+L142</f>
        <v/>
      </c>
      <c r="M143" s="208">
        <f>L143+M142</f>
        <v/>
      </c>
      <c r="N143" s="208">
        <f>M143+N142</f>
        <v/>
      </c>
      <c r="O143" s="208">
        <f>N143+O142</f>
        <v/>
      </c>
      <c r="P143" s="208">
        <f>O143+P142</f>
        <v/>
      </c>
      <c r="Q143" s="208">
        <f>P143+Q142</f>
        <v/>
      </c>
      <c r="R143" s="208">
        <f>Q143+R142</f>
        <v/>
      </c>
      <c r="S143" s="208">
        <f>R143+S142</f>
        <v/>
      </c>
      <c r="T143" s="208">
        <f>S143+T142</f>
        <v/>
      </c>
      <c r="U143" s="208">
        <f>T143+U142</f>
        <v/>
      </c>
      <c r="V143" s="208">
        <f>U143+V142</f>
        <v/>
      </c>
      <c r="W143" s="208">
        <f>V143+W142</f>
        <v/>
      </c>
      <c r="X143" s="208">
        <f>W143+X142</f>
        <v/>
      </c>
      <c r="Y143" s="208">
        <f>X143+Y142</f>
        <v/>
      </c>
      <c r="Z143" s="208">
        <f>Y143+Z142</f>
        <v/>
      </c>
    </row>
    <row r="144" hidden="1" outlineLevel="1" ht="15" customHeight="1" s="112">
      <c r="A144" s="207" t="inlineStr">
        <is>
          <t>KB8 · Dòng tiền lũy kế</t>
        </is>
      </c>
      <c r="B144" s="208">
        <f>B142</f>
        <v/>
      </c>
      <c r="C144" s="208">
        <f>B144+C142</f>
        <v/>
      </c>
      <c r="D144" s="208">
        <f>C144+D142</f>
        <v/>
      </c>
      <c r="E144" s="208">
        <f>D144+E142</f>
        <v/>
      </c>
      <c r="F144" s="208">
        <f>E144+F142</f>
        <v/>
      </c>
      <c r="G144" s="208">
        <f>F144+G142</f>
        <v/>
      </c>
      <c r="H144" s="208">
        <f>G144+H142</f>
        <v/>
      </c>
      <c r="I144" s="208">
        <f>H144+I142</f>
        <v/>
      </c>
      <c r="J144" s="208">
        <f>I144+J142</f>
        <v/>
      </c>
      <c r="K144" s="208">
        <f>J144+K142</f>
        <v/>
      </c>
      <c r="L144" s="208">
        <f>K144+L142</f>
        <v/>
      </c>
      <c r="M144" s="208">
        <f>L144+M142</f>
        <v/>
      </c>
      <c r="N144" s="208">
        <f>M144+N142</f>
        <v/>
      </c>
      <c r="O144" s="208">
        <f>N144+O142</f>
        <v/>
      </c>
      <c r="P144" s="208">
        <f>O144+P142</f>
        <v/>
      </c>
      <c r="Q144" s="208">
        <f>P144+Q142</f>
        <v/>
      </c>
      <c r="R144" s="208">
        <f>Q144+R142</f>
        <v/>
      </c>
      <c r="S144" s="208">
        <f>R144+S142</f>
        <v/>
      </c>
      <c r="T144" s="208">
        <f>S144+T142</f>
        <v/>
      </c>
      <c r="U144" s="208">
        <f>T144+U142</f>
        <v/>
      </c>
      <c r="V144" s="208">
        <f>U144+V142</f>
        <v/>
      </c>
      <c r="W144" s="208">
        <f>V144+W142</f>
        <v/>
      </c>
      <c r="X144" s="208">
        <f>W144+X142</f>
        <v/>
      </c>
      <c r="Y144" s="208">
        <f>X144+Y142</f>
        <v/>
      </c>
      <c r="Z144" s="208">
        <f>Y144+Z142</f>
        <v/>
      </c>
    </row>
    <row r="145" hidden="1" outlineLevel="1" ht="15" customHeight="1" s="11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rank="0" priority="2" equalAverage="0" aboveAverage="0" dxfId="0" text="" percent="0" bottom="0">
      <formula>$H58=1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18" customWidth="1" style="111" min="2" max="4"/>
    <col width="15" customWidth="1" style="111" min="5" max="5"/>
    <col width="40" customWidth="1" style="111" min="6" max="6"/>
    <col width="52" customWidth="1" style="111" min="7" max="7"/>
  </cols>
  <sheetData>
    <row r="1" ht="17.25" customHeight="1" s="112">
      <c r="A1" s="113" t="inlineStr">
        <is>
          <t>6 · Hiệu quả dự án AI dùng trong nội bộ (khi sản phẩm phục vụ chính công ty)</t>
        </is>
      </c>
    </row>
    <row r="2" ht="15" customHeight="1" s="112">
      <c r="A2" s="120" t="inlineStr">
        <is>
          <t>Hiệu quả = (giá trị tạo ra − chi phí vận hành) so với chi phí đầu tư một lần. Không dùng thay cho trang 3–5 nếu sản phẩm bán ra thị trường.</t>
        </is>
      </c>
    </row>
    <row r="3" ht="15" customHeight="1" s="112">
      <c r="A3" s="211" t="inlineStr">
        <is>
          <t>Lưu ý: giờ tiết kiệm chỉ thành tiền khi được dùng vào việc khác hoặc giúp giảm tuyển mới. Nếu không, chỉ ghi phần đo được ở dòng 9 và nói rõ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15.75" customHeight="1" s="112">
      <c r="A5" s="151" t="inlineStr">
        <is>
          <t>Số nhân sự dùng công cụ</t>
        </is>
      </c>
      <c r="B5" s="212" t="n"/>
      <c r="C5" s="212" t="n"/>
      <c r="D5" s="212" t="n"/>
      <c r="E5" s="153" t="inlineStr">
        <is>
          <t>người</t>
        </is>
      </c>
      <c r="F5" s="181" t="n"/>
      <c r="G5" s="155" t="inlineStr">
        <is>
          <t>Số người sẽ dùng công cụ. Bản mẫu: 30 (1 phòng ban).</t>
        </is>
      </c>
    </row>
    <row r="6" ht="31.5" customHeight="1" s="112">
      <c r="A6" s="176" t="inlineStr">
        <is>
          <t>Giờ tiết kiệm / người / tuần (chỉ tính giờ được dùng vào việc khác hoặc giúp giảm tuyển)</t>
        </is>
      </c>
      <c r="B6" s="212" t="n"/>
      <c r="C6" s="212" t="n"/>
      <c r="D6" s="212" t="n"/>
      <c r="E6" s="153" t="inlineStr">
        <is>
          <t>giờ</t>
        </is>
      </c>
      <c r="F6" s="181" t="n"/>
      <c r="G6" s="155" t="inlineStr">
        <is>
          <t>Chỉ tính giờ được dùng vào việc khác hoặc giúp giảm tuyển. Đo bằng thử nghiệm. Bản mẫu: 5 / 3 / 1,5.</t>
        </is>
      </c>
    </row>
    <row r="7" ht="30" customHeight="1" s="112">
      <c r="A7" s="151" t="inlineStr">
        <is>
          <t>Tỷ lệ người dùng thật</t>
        </is>
      </c>
      <c r="B7" s="157" t="n"/>
      <c r="C7" s="157" t="n"/>
      <c r="D7" s="157" t="n"/>
      <c r="E7" s="153" t="inlineStr">
        <is>
          <t>%</t>
        </is>
      </c>
      <c r="F7" s="181" t="n"/>
      <c r="G7" s="155" t="inlineStr">
        <is>
          <t>Người dùng đều đặn ÷ tổng số người. Bản mẫu: 80% / 60% / 35%.</t>
        </is>
      </c>
    </row>
    <row r="8" ht="15.75" customHeight="1" s="112">
      <c r="A8" s="151" t="inlineStr">
        <is>
          <t>Chi phí 1 giờ công (gồm phúc lợi)</t>
        </is>
      </c>
      <c r="B8" s="180" t="n"/>
      <c r="C8" s="180" t="n"/>
      <c r="D8" s="180" t="n"/>
      <c r="E8" s="153" t="inlineStr">
        <is>
          <t>VND / giờ</t>
        </is>
      </c>
      <c r="F8" s="181" t="n"/>
      <c r="G8" s="155" t="inlineStr">
        <is>
          <t>Lương + bảo hiểm + phúc lợi ÷ số giờ làm. Bản mẫu: 120.000.</t>
        </is>
      </c>
    </row>
    <row r="9" ht="15.75" customHeight="1" s="112">
      <c r="A9" s="151" t="inlineStr">
        <is>
          <t>Giá trị khác / tháng (doanh thu tăng, giảm lỗi…)</t>
        </is>
      </c>
      <c r="B9" s="180" t="n"/>
      <c r="C9" s="180" t="n"/>
      <c r="D9" s="180" t="n"/>
      <c r="E9" s="153" t="inlineStr">
        <is>
          <t>VND / tháng</t>
        </is>
      </c>
      <c r="F9" s="181" t="n"/>
      <c r="G9" s="155" t="inlineStr">
        <is>
          <t>Chỉ đưa vào nếu đo được. Bản mẫu: 10 / 5 / 0 triệu.</t>
        </is>
      </c>
    </row>
    <row r="10" ht="15.75" customHeight="1" s="112">
      <c r="A10" s="151" t="inlineStr">
        <is>
          <t>Chi phí xây dựng một lần</t>
        </is>
      </c>
      <c r="B10" s="180" t="n"/>
      <c r="C10" s="180" t="n"/>
      <c r="D10" s="180" t="n"/>
      <c r="E10" s="153" t="inlineStr">
        <is>
          <t>VND (một lần)</t>
        </is>
      </c>
      <c r="F10" s="181" t="n"/>
      <c r="G10" s="155" t="inlineStr">
        <is>
          <t>Bản mẫu: 400 / 400 / 500 triệu.</t>
        </is>
      </c>
    </row>
    <row r="11" ht="15.75" customHeight="1" s="112">
      <c r="A11" s="151" t="inlineStr">
        <is>
          <t>Chi phí thay đổi quy trình &amp; đào tạo (một lần)</t>
        </is>
      </c>
      <c r="B11" s="180" t="n"/>
      <c r="C11" s="180" t="n"/>
      <c r="D11" s="180" t="n"/>
      <c r="E11" s="153" t="inlineStr">
        <is>
          <t>VND (một lần)</t>
        </is>
      </c>
      <c r="F11" s="181" t="n"/>
      <c r="G11" s="155" t="inlineStr">
        <is>
          <t>Khoản hay bị quên. Bản mẫu: 50 / 60 / 80 triệu.</t>
        </is>
      </c>
    </row>
    <row r="12" ht="15.75" customHeight="1" s="112">
      <c r="A12" s="151" t="inlineStr">
        <is>
          <t>Chi phí vận hành / tháng (API, hạ tầng, bảo trì)</t>
        </is>
      </c>
      <c r="B12" s="180" t="n"/>
      <c r="C12" s="180" t="n"/>
      <c r="D12" s="180" t="n"/>
      <c r="E12" s="153" t="inlineStr">
        <is>
          <t>VND / tháng</t>
        </is>
      </c>
      <c r="F12" s="181" t="n"/>
      <c r="G12" s="155" t="inlineStr">
        <is>
          <t>Gọi AI + hạ tầng + bảo trì. Bản mẫu: 15 / 18 / 25 triệu.</t>
        </is>
      </c>
    </row>
    <row r="13" ht="15" customHeight="1" s="112">
      <c r="A13" s="151" t="inlineStr">
        <is>
          <t>Lãi suất chiết khấu / năm</t>
        </is>
      </c>
      <c r="B13" s="157" t="n">
        <v>0.15</v>
      </c>
      <c r="C13" s="157" t="n">
        <v>0.15</v>
      </c>
      <c r="D13" s="157" t="n">
        <v>0.15</v>
      </c>
      <c r="E13" s="153" t="inlineStr">
        <is>
          <t>%</t>
        </is>
      </c>
      <c r="F13" s="181" t="inlineStr">
        <is>
          <t>Giả định của lớp: chi phí vốn</t>
        </is>
      </c>
      <c r="G13" s="153" t="n"/>
    </row>
    <row r="15" ht="26.25" customHeight="1" s="112">
      <c r="A15" s="125" t="inlineStr">
        <is>
          <t>Kết quả</t>
        </is>
      </c>
      <c r="B15" s="125" t="inlineStr">
        <is>
          <t>Lạc quan</t>
        </is>
      </c>
      <c r="C15" s="125" t="inlineStr">
        <is>
          <t>Cơ sở</t>
        </is>
      </c>
      <c r="D15" s="125" t="inlineStr">
        <is>
          <t>Xấu</t>
        </is>
      </c>
      <c r="E15" s="125" t="inlineStr">
        <is>
          <t>Ngưỡng tham khảo</t>
        </is>
      </c>
    </row>
    <row r="16" ht="15" customHeight="1" s="112">
      <c r="A16" s="158" t="inlineStr">
        <is>
          <t>Giá trị tạo ra / tháng</t>
        </is>
      </c>
      <c r="B16" s="159">
        <f>B5*B6*52/12*B7*B8+B9</f>
        <v/>
      </c>
      <c r="C16" s="159">
        <f>C5*C6*52/12*C7*C8+C9</f>
        <v/>
      </c>
      <c r="D16" s="159">
        <f>D5*D6*52/12*D7*D8+D9</f>
        <v/>
      </c>
    </row>
    <row r="17" ht="15" customHeight="1" s="112">
      <c r="A17" s="158" t="inlineStr">
        <is>
          <t>Lợi ích ròng / tháng</t>
        </is>
      </c>
      <c r="B17" s="159">
        <f>B16-B12</f>
        <v/>
      </c>
      <c r="C17" s="159">
        <f>C16-C12</f>
        <v/>
      </c>
      <c r="D17" s="159">
        <f>D16-D12</f>
        <v/>
      </c>
      <c r="E17" s="111" t="inlineStr">
        <is>
          <t>&gt; 0</t>
        </is>
      </c>
    </row>
    <row r="18" ht="15" customHeight="1" s="112">
      <c r="A18" s="158" t="inlineStr">
        <is>
          <t>Đầu tư một lần</t>
        </is>
      </c>
      <c r="B18" s="159">
        <f>B10+B11</f>
        <v/>
      </c>
      <c r="C18" s="159">
        <f>C10+C11</f>
        <v/>
      </c>
      <c r="D18" s="159">
        <f>D10+D11</f>
        <v/>
      </c>
    </row>
    <row r="19" ht="15" customHeight="1" s="112">
      <c r="A19" s="158" t="inlineStr">
        <is>
          <t>Thời gian hoàn vốn</t>
        </is>
      </c>
      <c r="B19" s="213">
        <f>IF(B5=0,"Chưa điền",IF(B17&gt;0,B18/B17,"Không hoàn vốn"))</f>
        <v/>
      </c>
      <c r="C19" s="213">
        <f>IF(C5=0,"Chưa điền",IF(C17&gt;0,C18/C17,"Không hoàn vốn"))</f>
        <v/>
      </c>
      <c r="D19" s="213">
        <f>IF(D5=0,"Chưa điền",IF(D17&gt;0,D18/D17,"Không hoàn vốn"))</f>
        <v/>
      </c>
      <c r="E19" s="111" t="inlineStr">
        <is>
          <t>&lt; 12 tháng</t>
        </is>
      </c>
    </row>
    <row r="20" ht="15" customHeight="1" s="112">
      <c r="A20" s="158" t="inlineStr">
        <is>
          <t>Hiệu quả đầu tư sau 12 tháng (ROI)</t>
        </is>
      </c>
      <c r="B20" s="161">
        <f>IFERROR((12*B17-B18)/B18,0)</f>
        <v/>
      </c>
      <c r="C20" s="161">
        <f>IFERROR((12*C17-C18)/C18,0)</f>
        <v/>
      </c>
      <c r="D20" s="161">
        <f>IFERROR((12*D17-D18)/D18,0)</f>
        <v/>
      </c>
      <c r="E20" s="111" t="inlineStr">
        <is>
          <t>&gt; 0</t>
        </is>
      </c>
    </row>
    <row r="21" ht="15" customHeight="1" s="112">
      <c r="A21" s="158" t="inlineStr">
        <is>
          <t>Giá trị hiện tại ròng 24 tháng</t>
        </is>
      </c>
      <c r="B21" s="160">
        <f>PV(B13/12,24,-B17)-B18</f>
        <v/>
      </c>
      <c r="C21" s="160">
        <f>PV(C13/12,24,-C17)-C18</f>
        <v/>
      </c>
      <c r="D21" s="160">
        <f>PV(D13/12,24,-D17)-D18</f>
        <v/>
      </c>
      <c r="E21" s="111" t="inlineStr">
        <is>
          <t>&gt; 0</t>
        </is>
      </c>
    </row>
    <row r="22" ht="15" customHeight="1" s="112">
      <c r="A22" s="158" t="inlineStr">
        <is>
          <t>Đánh giá nhanh</t>
        </is>
      </c>
      <c r="B22" s="184">
        <f>IF(B5=0,"Chưa điền",IF(NOT(ISNUMBER(B19)),"Dừng",IF(B19&lt;12,"Làm","Thử nghiệm nhỏ")))</f>
        <v/>
      </c>
      <c r="C22" s="184">
        <f>IF(C5=0,"Chưa điền",IF(NOT(ISNUMBER(C19)),"Dừng",IF(C19&lt;12,"Làm","Thử nghiệm nhỏ")))</f>
        <v/>
      </c>
      <c r="D22" s="184">
        <f>IF(D5=0,"Chưa điền",IF(NOT(ISNUMBER(D19)),"Dừng",IF(D19&lt;12,"Làm","Thử nghiệm nhỏ")))</f>
        <v/>
      </c>
      <c r="E22" s="162"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11" min="1" max="1"/>
    <col width="24" customWidth="1" style="111" min="2" max="2"/>
    <col width="26" customWidth="1" style="111" min="3" max="3"/>
  </cols>
  <sheetData>
    <row r="1" ht="17.25" customHeight="1" s="112">
      <c r="A1" s="113" t="inlineStr">
        <is>
          <t>7 · Tự kiểm tra và ghi chú quyết định</t>
        </is>
      </c>
    </row>
    <row r="2" ht="31.5" customHeight="1" s="112">
      <c r="A2" s="114"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12">
      <c r="A4" s="125" t="inlineStr">
        <is>
          <t>Điểm kiểm tra</t>
        </is>
      </c>
      <c r="B4" s="125" t="inlineStr">
        <is>
          <t>Kết quả (cơ sở)</t>
        </is>
      </c>
      <c r="C4" s="125" t="inlineStr">
        <is>
          <t>Đạt?</t>
        </is>
      </c>
    </row>
    <row r="5" ht="15" customHeight="1" s="112">
      <c r="A5" s="158" t="inlineStr">
        <is>
          <t>Phần chìm ≥ 30% chi phí gọi AI</t>
        </is>
      </c>
      <c r="B5" s="161">
        <f>'1_Chi phí mỗi việc'!B25</f>
        <v/>
      </c>
      <c r="C5" s="171">
        <f>IF(B5&gt;=0.3,"Đạt","Xem lại")</f>
        <v/>
      </c>
    </row>
    <row r="6" ht="15" customHeight="1" s="112">
      <c r="A6" s="158" t="inlineStr">
        <is>
          <t>Biên lợi nhuận gộp bình quân ≥ 60% (gói kết hợp)</t>
        </is>
      </c>
      <c r="B6" s="161">
        <f>'4_Chỉ số mỗi khách'!C7</f>
        <v/>
      </c>
      <c r="C6" s="171">
        <f>IF(B6&gt;=0.6,"Đạt","Xem lại")</f>
        <v/>
      </c>
    </row>
    <row r="7" ht="15" customHeight="1" s="112">
      <c r="A7" s="158" t="inlineStr">
        <is>
          <t>LTV ÷ CAC &gt; 3 (cơ sở)</t>
        </is>
      </c>
      <c r="B7" s="214">
        <f>'4_Chỉ số mỗi khách'!C11</f>
        <v/>
      </c>
      <c r="C7" s="171">
        <f>IF(B7&gt;3,"Đạt","Xem lại")</f>
        <v/>
      </c>
    </row>
    <row r="8" ht="15" customHeight="1" s="112">
      <c r="A8" s="158" t="inlineStr">
        <is>
          <t>Hoàn vốn chi phí có khách &lt; 12 tháng (cơ sở)</t>
        </is>
      </c>
      <c r="B8" s="182">
        <f>'4_Chỉ số mỗi khách'!C12</f>
        <v/>
      </c>
      <c r="C8" s="171">
        <f>IF(AND(B8&gt;0,B8&lt;12),"Đạt","Xem lại")</f>
        <v/>
      </c>
    </row>
    <row r="9" ht="15" customHeight="1" s="112">
      <c r="A9" s="158" t="inlineStr">
        <is>
          <t>Kịch bản xấu: rời bỏ và chi phí có khách đủ sốc (≥ 1,5 lần)</t>
        </is>
      </c>
      <c r="B9" s="171">
        <f>IF(AND('3_Giả định'!C9&gt;0,'3_Giả định'!C10&gt;0,'3_Giả định'!D9&gt;=1.5*'3_Giả định'!C9,'3_Giả định'!D10&gt;=1.5*'3_Giả định'!C10),"Có","Không")</f>
        <v/>
      </c>
      <c r="C9" s="171">
        <f>IF(B9="Có","Đạt","Xem lại")</f>
        <v/>
      </c>
    </row>
    <row r="10" ht="15" customHeight="1" s="112">
      <c r="A10" s="158" t="inlineStr">
        <is>
          <t>Kịch bản xấu: tháng hết tiền</t>
        </is>
      </c>
      <c r="B10" s="189">
        <f>'5_Dòng tiền &amp; hiệu quả'!D47</f>
        <v/>
      </c>
      <c r="C10" s="171">
        <f>IF(B10="Chưa điền","Chưa điền",IF(ISNUMBER(B10),IF(B10&gt;=12,"Đạt","Cần kế hoạch cắt giảm"),"Đạt"))</f>
        <v/>
      </c>
    </row>
    <row r="11" ht="15" customHeight="1" s="112">
      <c r="A11" s="158" t="inlineStr">
        <is>
          <t>Giá trị hiện tại ròng 24 tháng (cơ sở)</t>
        </is>
      </c>
      <c r="B11" s="159">
        <f>'5_Dòng tiền &amp; hiệu quả'!C44</f>
        <v/>
      </c>
      <c r="C11" s="171">
        <f>IF(B11&gt;0,"Đạt","Xem lại")</f>
        <v/>
      </c>
    </row>
    <row r="12" ht="15" customHeight="1" s="112">
      <c r="A12" s="158" t="inlineStr">
        <is>
          <t>Biến nguy hiểm nhất (bảng độ nhạy, trang 5)</t>
        </is>
      </c>
      <c r="B12" s="171">
        <f>'5_Dòng tiền &amp; hiệu quả'!B66</f>
        <v/>
      </c>
      <c r="C12" s="171">
        <f>IF(B12="Chưa đủ số liệu","Xem lại","Ghi vào câu 3")</f>
        <v/>
      </c>
    </row>
    <row r="13" ht="16.5" customHeight="1" s="112">
      <c r="A13" s="215" t="inlineStr">
        <is>
          <t>GHI CHÚ QUYẾT ĐỊNH: 5 câu, mỗi câu 1–3 câu văn, cả phần khoảng 200 chữ. Nhóm viết vào ô vàng dưới mỗi câu hỏi.</t>
        </is>
      </c>
    </row>
    <row r="14" ht="48.75" customHeight="1" s="112">
      <c r="A14" s="131"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48" customHeight="1" s="112">
      <c r="A15" s="163" t="inlineStr">
        <is>
          <t>Thử nghiệm nhỏ 3 tháng/10 trung tâm: NPV cơ sở +3.513 triệu, hoàn vốn tháng 15; kịch bản xấu −3.234 triệu, hết tiền tháng 17. Nếu cuối tháng 3 chưa đạt ngưỡng, trưởng nhóm đóng băng tuyển dụng/tiếp thị và rà chi phí cố định 160 triệu/tháng.</t>
        </is>
      </c>
      <c r="B15" s="216" t="n"/>
      <c r="C15" s="216" t="n"/>
    </row>
    <row r="17" ht="18.75" customHeight="1" s="112">
      <c r="A17" s="131" t="inlineStr">
        <is>
          <t>2. Giá bán và cách tính tiền đã chọn — vì sao khách chấp nhận mức đó?</t>
        </is>
      </c>
    </row>
    <row r="18" ht="48" customHeight="1" s="112">
      <c r="A18" s="163" t="inlineStr">
        <is>
          <t>Gói 3,9 triệu/tháng gồm 600 bài, vượt mức 5.500 đồng/bài; khách thường trả 3,9 triệu, khách lớn 14,35 triệu. Hai lượt gọi, mỗi lượt 3.000 token vào/800 ra, API 769 đồng; giá vốn 1.619 đồng/bài, biên trước chia 75,1%; neo giá 20.000 đồng/bài chấm thủ công, cần thử sức mua.</t>
        </is>
      </c>
      <c r="B18" s="216" t="n"/>
      <c r="C18" s="216" t="n"/>
    </row>
    <row r="20" ht="18.75" customHeight="1" s="112">
      <c r="A20" s="131" t="inlineStr">
        <is>
          <t>3. Biến số nguy hiểm nhất (theo bảng độ nhạy ở trang 5) và cách theo dõi.</t>
        </is>
      </c>
    </row>
    <row r="21" ht="48" customHeight="1" s="112">
      <c r="A21" s="163" t="inlineStr">
        <is>
          <t>Giảm 20% doanh thu bình quân làm NPV còn +607 triệu, rủi ro lớn nhất; chia 20% còn biên 55,1%, trần NPV=0 là 39,3%, nhưng giữ biên trên 50% chỉ 25,1%. Khách lớn là 25% khách/55,1% doanh thu; mất họ, NPV −57,7 triệu, hoàn vốn tháng 23; điều phối theo dõi doanh thu/churn tuần.</t>
        </is>
      </c>
      <c r="B21" s="216" t="n"/>
      <c r="C21" s="216" t="n"/>
    </row>
    <row r="23" ht="63.75" customHeight="1" s="112">
      <c r="A23" s="131"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48" customHeight="1" s="112">
      <c r="A24" s="163" t="inlineStr">
        <is>
          <t>NẾU doanh thu sau chia dưới 3.950.400 đồng/trung tâm/tháng tại ít nhất 10 trung tâm trong 2 tháng THÌ trưởng nhóm đóng băng tuyển dụng/tiếp thị, rà chi phí đội 160 triệu và runway. KHÔNG THÌ không mở rộng đội/gói không giới hạn dưới ngưỡng.</t>
        </is>
      </c>
      <c r="B24" s="216" t="n"/>
      <c r="C24" s="216" t="n"/>
    </row>
    <row r="26" ht="33.75" customHeight="1" s="112">
      <c r="A26" s="131" t="inlineStr">
        <is>
          <t>5. Mức cảnh báo tự tính (trang 5, dòng 72–77) đã điền vào bảng theo dõi Ngày 23 thế nào? Chưa có bảng Ngày 23: chép các mức đó, ghi mức nào là "nguy", mức nào "đáng lo", và ai theo dõi hằng tuần.</t>
        </is>
      </c>
    </row>
    <row r="27" ht="48" customHeight="1" s="112">
      <c r="A27" s="144" t="inlineStr">
        <is>
          <t>Ngưỡng nguy Ngày 23: doanh thu dưới 3,95 triệu/tháng; biên dưới 44,7%; CAC trên 16,45 triệu; khách mới tháng 1 dưới 6; chi phí cố định trên 330,34 triệu. Điều phối cập nhật doanh thu/churn tuần.</t>
        </is>
      </c>
      <c r="B27" s="145" t="n"/>
      <c r="C27" s="146" t="n"/>
    </row>
  </sheetData>
  <sheetProtection selectLockedCells="0" selectUnlockedCells="0" sheet="1" objects="0" insertRows="1" insertHyperlinks="1" autoFilter="1" scenarios="0" formatColumns="0" deleteColumns="1" insertColumns="1" pivotTables="1" deleteRows="1" formatCells="1" formatRows="0" sort="1"/>
  <mergeCells count="12">
    <mergeCell ref="A13:C13"/>
    <mergeCell ref="A26:C26"/>
    <mergeCell ref="A23:C23"/>
    <mergeCell ref="A14:C14"/>
    <mergeCell ref="A17:C17"/>
    <mergeCell ref="A18:C18"/>
    <mergeCell ref="A27:C27"/>
    <mergeCell ref="A21:C21"/>
    <mergeCell ref="A15:C15"/>
    <mergeCell ref="A20:C20"/>
    <mergeCell ref="A24:C2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1" min="1" max="1"/>
    <col width="30" customWidth="1" style="111" min="2" max="2"/>
    <col width="80" customWidth="1" style="111" min="3" max="3"/>
    <col width="40" customWidth="1" style="111" min="4" max="4"/>
  </cols>
  <sheetData>
    <row r="1" ht="17.25" customHeight="1" s="112">
      <c r="A1" s="113" t="inlineStr">
        <is>
          <t>8 · Thang điểm (100 điểm)</t>
        </is>
      </c>
    </row>
    <row r="2" ht="15" customHeight="1" s="112">
      <c r="A2" s="120" t="inlineStr">
        <is>
          <t>Trừ điểm: số bịa không có nguồn, chỉ 1 kịch bản, nhầm doanh thu với lợi nhuận.</t>
        </is>
      </c>
    </row>
    <row r="4" ht="15" customHeight="1" s="112">
      <c r="A4" s="125" t="inlineStr">
        <is>
          <t>Tiêu chí</t>
        </is>
      </c>
      <c r="B4" s="125" t="inlineStr">
        <is>
          <t>Điểm</t>
        </is>
      </c>
      <c r="C4" s="125" t="inlineStr">
        <is>
          <t>Bài đạt khi</t>
        </is>
      </c>
      <c r="D4" s="125" t="inlineStr">
        <is>
          <t>Điểm (giảng viên chấm, nhóm không điền)</t>
        </is>
      </c>
    </row>
    <row r="5" ht="15" customHeight="1" s="112">
      <c r="A5" s="158" t="inlineStr">
        <is>
          <t>Bài tập tài chính căn bản</t>
        </is>
      </c>
      <c r="B5" s="111" t="n">
        <v>10</v>
      </c>
      <c r="C5" s="115" t="inlineStr">
        <is>
          <t>Ba báo cáo đúng và khớp: bảng cân đối cân, tiền cuối kỳ khớp, trả lời đúng câu 1–3</t>
        </is>
      </c>
      <c r="D5" s="217" t="n"/>
    </row>
    <row r="6" ht="15" customHeight="1" s="112">
      <c r="A6" s="158" t="inlineStr">
        <is>
          <t>Chi phí mỗi việc đầy đủ</t>
        </is>
      </c>
      <c r="B6" s="111" t="n">
        <v>15</v>
      </c>
      <c r="C6" s="115" t="inlineStr">
        <is>
          <t>≥ 4 nhóm chi phí; chỉ gồm chi phí phục vụ (không lẫn R&amp;D, bán hàng); có tên mô hình và ngày tra giá</t>
        </is>
      </c>
      <c r="D6" s="217" t="n"/>
    </row>
    <row r="7" ht="15" customHeight="1" s="112">
      <c r="A7" s="158" t="inlineStr">
        <is>
          <t>Giá sống được trong mô hình</t>
        </is>
      </c>
      <c r="B7" s="111" t="n">
        <v>15</v>
      </c>
      <c r="C7" s="115" t="inlineStr">
        <is>
          <t>Giá lấy từ bài Ngày 22 và qua ba phép thử: neo lương 50–70%, tiền AI của khách dùng nhiều, biên sau chia đối tác</t>
        </is>
      </c>
      <c r="D7" s="217" t="n"/>
    </row>
    <row r="8" ht="15" customHeight="1" s="112">
      <c r="A8" s="158" t="inlineStr">
        <is>
          <t>Chỉ số trên mỗi khách</t>
        </is>
      </c>
      <c r="B8" s="111" t="n">
        <v>20</v>
      </c>
      <c r="C8" s="115" t="inlineStr">
        <is>
          <t>Công thức đúng; LTV tính trên lợi nhuận gộp; tỷ lệ rời bỏ và chi phí có khách có nguồn hoặc lý do rõ</t>
        </is>
      </c>
      <c r="D8" s="217" t="n"/>
    </row>
    <row r="9" ht="15" customHeight="1" s="112">
      <c r="A9" s="158" t="inlineStr">
        <is>
          <t>3 kịch bản và độ nhạy</t>
        </is>
      </c>
      <c r="B9" s="111" t="n">
        <v>20</v>
      </c>
      <c r="C9" s="115" t="inlineStr">
        <is>
          <t>Kịch bản xấu là cú sốc thật; đọc bảng độ nhạy và chỉ ra biến số nguy hiểm nhất</t>
        </is>
      </c>
      <c r="D9" s="217" t="n"/>
    </row>
    <row r="10" ht="15" customHeight="1" s="112">
      <c r="A10" s="158" t="inlineStr">
        <is>
          <t>Ghi chú quyết định và mức cảnh báo</t>
        </is>
      </c>
      <c r="B10" s="111" t="n">
        <v>20</v>
      </c>
      <c r="C10" s="115" t="inlineStr">
        <is>
          <t>Quyết định rõ, bảo vệ bằng số; luật xử lý theo khuôn Ngày 23; mức cảnh báo tự tính đưa vào bảng Ngày 23</t>
        </is>
      </c>
      <c r="D10" s="217" t="n"/>
    </row>
    <row r="11" ht="15" customHeight="1" s="112">
      <c r="A11" s="116" t="inlineStr">
        <is>
          <t>TỔNG</t>
        </is>
      </c>
      <c r="B11" s="111">
        <f>SUM(B5:B10)</f>
        <v/>
      </c>
      <c r="D11" s="171">
        <f>SUM(D5:D10)</f>
        <v/>
      </c>
    </row>
    <row r="12" ht="15" customHeight="1" s="112">
      <c r="A12" s="116" t="inlineStr">
        <is>
          <t>Điểm thưởng: dùng số thật từ buổi trước (trang 0)</t>
        </is>
      </c>
      <c r="B12" s="111" t="inlineStr">
        <is>
          <t>tối đa 10</t>
        </is>
      </c>
      <c r="C12" s="111" t="inlineStr">
        <is>
          <t>2 điểm/đầu vào đã có và thật sự được dùng; tổng điểm không quá 100</t>
        </is>
      </c>
      <c r="D12" s="217" t="n"/>
    </row>
    <row r="15" ht="15" customHeight="1" s="112">
      <c r="A15" s="188" t="inlineStr">
        <is>
          <t>THANG ĐIỂM TRÌNH BÀY (1–5 điểm mỗi tiêu chí)</t>
        </is>
      </c>
    </row>
    <row r="16" ht="15" customHeight="1" s="112">
      <c r="A16" s="125" t="inlineStr">
        <is>
          <t>Tiêu chí</t>
        </is>
      </c>
      <c r="B16" s="125" t="inlineStr">
        <is>
          <t>Mức 1</t>
        </is>
      </c>
      <c r="C16" s="125" t="inlineStr">
        <is>
          <t>Mức 3</t>
        </is>
      </c>
      <c r="D16" s="125" t="inlineStr">
        <is>
          <t>Mức 5</t>
        </is>
      </c>
    </row>
    <row r="17" ht="45.75" customHeight="1" s="112">
      <c r="A17" s="131" t="inlineStr">
        <is>
          <t>Rõ ràng</t>
        </is>
      </c>
      <c r="B17" s="218" t="inlineStr">
        <is>
          <t>Câu đầu chưa có quyết định; người nghe phải đoán nhóm đề xuất gì</t>
        </is>
      </c>
      <c r="C17" s="218" t="inlineStr">
        <is>
          <t>Có quyết định nhưng nói sau phần mở đầu, hoặc thiếu giá bán</t>
        </is>
      </c>
      <c r="D17" s="218" t="inlineStr">
        <is>
          <t>Câu đầu tiên có quyết định, giá bán và 1 lý do</t>
        </is>
      </c>
    </row>
    <row r="18" ht="45.75" customHeight="1" s="112">
      <c r="A18" s="131" t="inlineStr">
        <is>
          <t>Bằng chứng</t>
        </is>
      </c>
      <c r="B18" s="218" t="inlineStr">
        <is>
          <t>Con số không có nguồn, hoặc chỉ có kịch bản cơ sở</t>
        </is>
      </c>
      <c r="C18" s="218" t="inlineStr">
        <is>
          <t>Có số chính và nguồn, nhưng thiếu kịch bản xấu hoặc biến nguy hiểm nhất</t>
        </is>
      </c>
      <c r="D18" s="218" t="inlineStr">
        <is>
          <t>Đủ chi phí mỗi việc, biên lợi nhuận, LTV ÷ CAC, kịch bản xấu; số nào cũng có nguồn hoặc lý do</t>
        </is>
      </c>
    </row>
    <row r="19" ht="45.75" customHeight="1" s="112">
      <c r="A19" s="131" t="inlineStr">
        <is>
          <t>Trả lời phản biện</t>
        </is>
      </c>
      <c r="B19" s="218" t="inlineStr">
        <is>
          <t>Né câu hỏi hoặc trả lời chung chung</t>
        </is>
      </c>
      <c r="C19" s="218" t="inlineStr">
        <is>
          <t>Trả lời đúng ý nhưng không dẫn số</t>
        </is>
      </c>
      <c r="D19" s="218" t="inlineStr">
        <is>
          <t>Trả lời thẳng, dẫn đúng con số trong file</t>
        </is>
      </c>
    </row>
    <row r="20" ht="45.75" customHeight="1" s="112">
      <c r="A20" s="131" t="inlineStr">
        <is>
          <t>Đúng giờ</t>
        </is>
      </c>
      <c r="B20" s="218" t="inlineStr">
        <is>
          <t>Quá 4 phút</t>
        </is>
      </c>
      <c r="C20" s="218" t="inlineStr">
        <is>
          <t>Từ 3 đến 4 phút</t>
        </is>
      </c>
      <c r="D20" s="218" t="inlineStr">
        <is>
          <t>Không quá 3 phút</t>
        </is>
      </c>
    </row>
    <row r="22" ht="15" customHeight="1" s="112">
      <c r="A22" s="162"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22" customWidth="1" style="111" min="2" max="3"/>
    <col width="70" customWidth="1" style="111" min="4" max="4"/>
    <col width="48" customWidth="1" style="111" min="5" max="5"/>
  </cols>
  <sheetData>
    <row r="1" ht="15" customHeight="1" s="112">
      <c r="A1" s="188" t="inlineStr">
        <is>
          <t>9 · Số tham khảo đã kiểm chứng (tra ngày 04/10/2026)</t>
        </is>
      </c>
    </row>
    <row r="2" ht="15" customHeight="1" s="112">
      <c r="A2" s="162" t="inlineStr">
        <is>
          <t>Giá thay đổi thường xuyên: trước khi dùng, mở lại đường dẫn và ghi ngày tra của nhóm. Số nào không có trong bảng, nhóm tự tìm nguồn hoặc ghi lý do.</t>
        </is>
      </c>
    </row>
    <row r="4" ht="27.75" customHeight="1" s="112">
      <c r="A4" s="125" t="inlineStr">
        <is>
          <t>Mô hình AI</t>
        </is>
      </c>
      <c r="B4" s="125" t="inlineStr">
        <is>
          <t>Đầu vào (USD / 1 triệu token)</t>
        </is>
      </c>
      <c r="C4" s="125" t="inlineStr">
        <is>
          <t>Đầu ra (USD / 1 triệu token)</t>
        </is>
      </c>
      <c r="D4" s="125" t="inlineStr">
        <is>
          <t>Nguồn chính thức</t>
        </is>
      </c>
      <c r="E4" s="125" t="inlineStr">
        <is>
          <t>Ghi chú</t>
        </is>
      </c>
    </row>
    <row r="5" ht="15" customHeight="1" s="112">
      <c r="A5" s="190" t="inlineStr">
        <is>
          <t>OpenAI GPT-6 Luna</t>
        </is>
      </c>
      <c r="B5" s="219" t="n">
        <v>0.1</v>
      </c>
      <c r="C5" s="219" t="n">
        <v>0.5</v>
      </c>
      <c r="D5" s="190" t="inlineStr">
        <is>
          <t>https://developers.openai.com/api/docs/pricing</t>
        </is>
      </c>
      <c r="E5" s="190" t="inlineStr">
        <is>
          <t>Mức Standard, ngữ cảnh ngắn</t>
        </is>
      </c>
    </row>
    <row r="6" ht="15" customHeight="1" s="112">
      <c r="A6" s="190" t="inlineStr">
        <is>
          <t>OpenAI GPT-6 Sol</t>
        </is>
      </c>
      <c r="B6" s="219" t="n">
        <v>2</v>
      </c>
      <c r="C6" s="219" t="n">
        <v>10</v>
      </c>
      <c r="D6" s="190" t="inlineStr">
        <is>
          <t>https://openai.com/index/introducing-gpt-6-sol-and-luna/</t>
        </is>
      </c>
      <c r="E6" s="190" t="inlineStr">
        <is>
          <t>Mức Standard</t>
        </is>
      </c>
    </row>
    <row r="7" ht="15" customHeight="1" s="112">
      <c r="A7" s="190" t="inlineStr">
        <is>
          <t>Anthropic Claude Haiku 4.5</t>
        </is>
      </c>
      <c r="B7" s="219" t="n">
        <v>1</v>
      </c>
      <c r="C7" s="219" t="n">
        <v>5</v>
      </c>
      <c r="D7" s="190" t="inlineStr">
        <is>
          <t>https://platform.claude.com/docs/en/models/haiku-4-5/overview</t>
        </is>
      </c>
      <c r="E7" s="190" t="n"/>
    </row>
    <row r="8" ht="15" customHeight="1" s="112">
      <c r="A8" s="190" t="inlineStr">
        <is>
          <t>Anthropic Claude Sonnet 5.5</t>
        </is>
      </c>
      <c r="B8" s="219" t="n">
        <v>2</v>
      </c>
      <c r="C8" s="219" t="n">
        <v>10</v>
      </c>
      <c r="D8" s="190" t="inlineStr">
        <is>
          <t>https://platform.claude.com/docs/en/models/haiku-4-5/overview</t>
        </is>
      </c>
      <c r="E8" s="190" t="inlineStr">
        <is>
          <t>Bảng so sánh trên cùng trang</t>
        </is>
      </c>
    </row>
    <row r="11" ht="15" customHeight="1" s="112">
      <c r="A11" s="125" t="inlineStr">
        <is>
          <t>Số liệu Việt Nam</t>
        </is>
      </c>
      <c r="B11" s="125" t="inlineStr">
        <is>
          <t>Giá trị</t>
        </is>
      </c>
      <c r="C11" s="125" t="inlineStr">
        <is>
          <t>Đơn vị</t>
        </is>
      </c>
      <c r="D11" s="125" t="inlineStr">
        <is>
          <t>Nguồn</t>
        </is>
      </c>
      <c r="E11" s="125" t="inlineStr">
        <is>
          <t>Ghi chú</t>
        </is>
      </c>
    </row>
    <row r="12" ht="15" customHeight="1" s="112">
      <c r="A12" s="190" t="inlineStr">
        <is>
          <t>Tỷ giá USD bán ra Vietcombank</t>
        </is>
      </c>
      <c r="B12" s="220" t="n">
        <v>26170</v>
      </c>
      <c r="C12" s="190" t="inlineStr">
        <is>
          <t>VND / USD</t>
        </is>
      </c>
      <c r="D12" s="190" t="inlineStr">
        <is>
          <t>https://thanhnien.vn/gia-usd-hom-nay-4102026-bien-dong-nhe-trong-tuan-khi-euro-bang-anh-tiep-tuc-giam-185261003210750485.htm</t>
        </is>
      </c>
      <c r="E12" s="190" t="inlineStr">
        <is>
          <t>Báo chí đưa tin sáng 04/10/2026; đối chiếu trang Vietcombank khi dùng</t>
        </is>
      </c>
    </row>
    <row r="13" ht="15" customHeight="1" s="112">
      <c r="A13" s="190" t="inlineStr">
        <is>
          <t>Tỷ giá trung tâm Ngân hàng Nhà nước</t>
        </is>
      </c>
      <c r="B13" s="220" t="n">
        <v>25636</v>
      </c>
      <c r="C13" s="190" t="inlineStr">
        <is>
          <t>VND / USD</t>
        </is>
      </c>
      <c r="D13" s="190" t="inlineStr">
        <is>
          <t>https://qdnd.vn/kinh-te/tin-tuc/ty-gia-usd-hom-nay-4-10-dong-usd-tang-tuan-thu-ba-lien-tiep-1059250</t>
        </is>
      </c>
      <c r="E13" s="190" t="inlineStr">
        <is>
          <t>Báo QĐND đưa tin ngày 04/10/2026</t>
        </is>
      </c>
    </row>
    <row r="14" ht="15" customHeight="1" s="112">
      <c r="A14" s="190" t="inlineStr">
        <is>
          <t>Lương tối thiểu tháng, vùng I (Hà Nội, TP.HCM)</t>
        </is>
      </c>
      <c r="B14" s="220" t="n">
        <v>5310000</v>
      </c>
      <c r="C14" s="190" t="inlineStr">
        <is>
          <t>VND / tháng</t>
        </is>
      </c>
      <c r="D14" s="190" t="inlineStr">
        <is>
          <t>https://xaydungchinhsach.chinhphu.vn/tu-1-1-2026-muc-luong-toi-thieu-duoc-tang-bao-nhieu-119251111091442629.htm</t>
        </is>
      </c>
      <c r="E14" s="190" t="inlineStr">
        <is>
          <t>Nghị định 293/2025/NĐ-CP, hiệu lực 01/01/2026</t>
        </is>
      </c>
    </row>
    <row r="15" ht="15" customHeight="1" s="112">
      <c r="A15" s="190" t="inlineStr">
        <is>
          <t>Lương tối thiểu giờ, vùng I</t>
        </is>
      </c>
      <c r="B15" s="220" t="n">
        <v>25500</v>
      </c>
      <c r="C15" s="190" t="inlineStr">
        <is>
          <t>VND / giờ</t>
        </is>
      </c>
      <c r="D15" s="190" t="inlineStr">
        <is>
          <t>https://xaydungchinhsach.chinhphu.vn/tu-1-1-2026-muc-luong-toi-thieu-duoc-tang-bao-nhieu-119251111091442629.htm</t>
        </is>
      </c>
      <c r="E15" s="190" t="inlineStr">
        <is>
          <t>Nghị định 293/2025/NĐ-CP; là mức sàn, chưa gồm bảo hiểm</t>
        </is>
      </c>
    </row>
    <row r="18" ht="15" customHeight="1" s="112">
      <c r="A18" s="125" t="inlineStr">
        <is>
          <t>Số KHÔNG có trong bảng</t>
        </is>
      </c>
      <c r="B18" s="125" t="inlineStr">
        <is>
          <t>Cách xử lý</t>
        </is>
      </c>
    </row>
    <row r="19" ht="48" customHeight="1" s="112">
      <c r="A19" s="218" t="inlineStr">
        <is>
          <t>Tỷ lệ rời bỏ, chi phí có một khách của SME Việt Nam</t>
        </is>
      </c>
      <c r="B19" s="218"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12">
      <c r="A20" s="218" t="inlineStr">
        <is>
          <t>LTV ÷ CAC &gt; 3, hoàn vốn chi phí có khách &lt; 12 tháng</t>
        </is>
      </c>
      <c r="B20" s="218" t="inlineStr">
        <is>
          <t>Ngưỡng tham khảo phổ biến trong ngành phần mềm thuê bao; lớp chưa kiểm chứng nguồn sơ cấp. Dùng để đọc kết quả, không phải luật.</t>
        </is>
      </c>
    </row>
    <row r="21" ht="48" customHeight="1" s="112">
      <c r="A21" s="218" t="inlineStr">
        <is>
          <t>Giá sàn gấp 3 lần chi phí mỗi việc; phần chìm ≥ 30% chi phí gọi AI</t>
        </is>
      </c>
      <c r="B21" s="218" t="inlineStr">
        <is>
          <t>Kinh nghiệm của giảng viên, không phải chuẩn ngành.</t>
        </is>
      </c>
    </row>
    <row r="23" ht="15" customHeight="1" s="112">
      <c r="A23" s="125" t="inlineStr">
        <is>
          <t>Ngưỡng nghe ở Ngày 22–23</t>
        </is>
      </c>
      <c r="B23" s="125" t="inlineStr">
        <is>
          <t>Cách dùng hôm nay</t>
        </is>
      </c>
    </row>
    <row r="24" ht="48" customHeight="1" s="112">
      <c r="A24" s="218" t="inlineStr">
        <is>
          <t>Biên lợi nhuận gộp ≥ 60%, dưới 50% là nguy (Ngày 22, slide 8)</t>
        </is>
      </c>
      <c r="B24" s="218" t="inlineStr">
        <is>
          <t>Diễn giả nêu, không kèm nguồn. Ngày 23 (slide 34) dẫn số thực đo của công ty AI chỉ 45–53% — chưa kiểm chứng. Dùng mức tối thiểu tự tính ở trang 5.</t>
        </is>
      </c>
    </row>
    <row r="25" ht="48" customHeight="1" s="112">
      <c r="A25" s="218" t="inlineStr">
        <is>
          <t>Neo giá ở 50–70% lương người được thay (Ngày 22, slide 9)</t>
        </is>
      </c>
      <c r="B25" s="218" t="inlineStr">
        <is>
          <t>Kinh nghiệm diễn giả. Dùng làm phép thử ở trang 2, không phải luật.</t>
        </is>
      </c>
    </row>
    <row r="26" ht="48" customHeight="1" s="112">
      <c r="A26" s="218" t="inlineStr">
        <is>
          <t>Ranh giới bán tự phục vụ dưới 50 USD, bán trực tiếp trên 1.000 USD mỗi tháng (Ngày 22, slide 17–18)</t>
        </is>
      </c>
      <c r="B26" s="218" t="inlineStr">
        <is>
          <t>Ngưỡng của thị trường Mỹ. Ranh giới của nhóm là chi phí có một khách tối đa tự tính ở trang 5.</t>
        </is>
      </c>
    </row>
    <row r="27" ht="48" customHeight="1" s="112">
      <c r="A27" s="218" t="inlineStr">
        <is>
          <t>GitHub Copilot thu 10 USD, chi 80 USD, lỗ 70 USD mỗi người (Ngày 22, slide 3)</t>
        </is>
      </c>
      <c r="B27" s="218" t="inlineStr">
        <is>
          <t>WSJ 10/2023 đưa tin lỗ trung bình khoảng 20 USD/người/tháng; 80 USD là mức của một số người dùng nặng. Theo bản tóm tắt của AI Business, chưa đọc bài gốc WSJ.</t>
        </is>
      </c>
    </row>
    <row r="28" ht="48" customHeight="1" s="112">
      <c r="A28" s="218" t="inlineStr">
        <is>
          <t>Nhãn nguồn [NGÀNH] · [TỰ TÍNH] · [TỰ ĐO] (Ngày 23, slide 11)</t>
        </is>
      </c>
      <c r="B28" s="218"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2026-10-04T05:18:06Z</dcterms:created>
  <dcterms:modified xmlns:dcterms="http://purl.org/dc/terms/" xmlns:xsi="http://www.w3.org/2001/XMLSchema-instance" xsi:type="dcterms:W3CDTF">2026-10-12T16:54:55Z</dcterms:modified>
  <cp:revision>0</cp:revision>
</cp:coreProperties>
</file>